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Tổng quan" sheetId="1" state="visible" r:id="rId1"/>
    <sheet xmlns:r="http://schemas.openxmlformats.org/officeDocument/2006/relationships" name="1. Product Backlog" sheetId="2" state="visible" r:id="rId2"/>
    <sheet xmlns:r="http://schemas.openxmlformats.org/officeDocument/2006/relationships" name="2. Release Backlog" sheetId="3" state="visible" r:id="rId3"/>
    <sheet xmlns:r="http://schemas.openxmlformats.org/officeDocument/2006/relationships" name="3. Sprint Planning" sheetId="4" state="visible" r:id="rId4"/>
    <sheet xmlns:r="http://schemas.openxmlformats.org/officeDocument/2006/relationships" name="4. Sprint Backlog" sheetId="5" state="visible" r:id="rId5"/>
    <sheet xmlns:r="http://schemas.openxmlformats.org/officeDocument/2006/relationships" name="5. ED (Môi trường)" sheetId="6" state="visible" r:id="rId6"/>
    <sheet xmlns:r="http://schemas.openxmlformats.org/officeDocument/2006/relationships" name="6. Ước lượng 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895A"/>
      <sz val="14"/>
    </font>
    <font>
      <b val="1"/>
    </font>
    <font>
      <b val="1"/>
      <color rgb="00FFFFFF"/>
      <sz val="11"/>
    </font>
    <font>
      <b val="1"/>
      <color rgb="000B895A"/>
      <sz val="11"/>
    </font>
  </fonts>
  <fills count="6">
    <fill>
      <patternFill/>
    </fill>
    <fill>
      <patternFill patternType="gray125"/>
    </fill>
    <fill>
      <patternFill patternType="solid">
        <fgColor rgb="000B895A"/>
      </patternFill>
    </fill>
    <fill>
      <patternFill patternType="solid">
        <fgColor rgb="00D9EAE2"/>
      </patternFill>
    </fill>
    <fill>
      <patternFill patternType="solid">
        <fgColor rgb="00E7F4EF"/>
      </patternFill>
    </fill>
    <fill>
      <patternFill patternType="solid">
        <fgColor rgb="00EEF1F4"/>
      </patternFill>
    </fill>
  </fills>
  <borders count="6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  <border>
      <left/>
      <right/>
      <top style="thin">
        <color rgb="00D5DBE2"/>
      </top>
      <bottom/>
      <diagonal/>
    </border>
    <border>
      <left/>
      <right style="thin">
        <color rgb="00D5DBE2"/>
      </right>
      <top style="thin">
        <color rgb="00D5DBE2"/>
      </top>
      <bottom/>
      <diagonal/>
    </border>
    <border>
      <left/>
      <right/>
      <top style="thin">
        <color rgb="00D5DBE2"/>
      </top>
      <bottom style="thin">
        <color rgb="00D5DBE2"/>
      </bottom>
      <diagonal/>
    </border>
    <border>
      <left/>
      <right style="thin">
        <color rgb="00D5DBE2"/>
      </right>
      <top style="thin">
        <color rgb="00D5DBE2"/>
      </top>
      <bottom style="thin">
        <color rgb="00D5DBE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0" pivotButton="0" quotePrefix="0" xfId="0"/>
    <xf numFmtId="2" fontId="0" fillId="0" borderId="1" applyAlignment="1" pivotButton="0" quotePrefix="0" xfId="0">
      <alignment horizontal="center" vertical="center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96" customWidth="1" min="3" max="3"/>
  </cols>
  <sheetData>
    <row r="1">
      <c r="A1" s="1" t="inlineStr">
        <is>
          <t>BShoes: Hệ thống quản lý &amp; bán hàng cửa hàng giày</t>
        </is>
      </c>
    </row>
    <row r="2">
      <c r="A2" s="2" t="inlineStr">
        <is>
          <t>WORKSHOP 2: Product Backlog, Release Backlog, Sprint Backlog &amp; Ước lượng Story</t>
        </is>
      </c>
    </row>
    <row r="3">
      <c r="A3" t="inlineStr">
        <is>
          <t>Phiên bản: v1.2 (chuẩn hóa Scrum: RQ -&gt; PB -&gt; Task, đánh số theo Sprint)</t>
        </is>
      </c>
    </row>
    <row r="4">
      <c r="A4" t="inlineStr">
        <is>
          <t>Hạn hoàn thành: 30/09/2026</t>
        </is>
      </c>
    </row>
    <row r="6">
      <c r="A6" s="2" t="inlineStr">
        <is>
          <t>Cấu trúc tài liệu (3 cấp, đánh số theo Sprint)</t>
        </is>
      </c>
    </row>
    <row r="7">
      <c r="A7" t="inlineStr">
        <is>
          <t>Cấp 1, RQ (Request): yêu cầu từ actor, dạng As a / I want / So that -&gt; Product Backlog</t>
        </is>
      </c>
    </row>
    <row r="8">
      <c r="A8" t="inlineStr">
        <is>
          <t>Cấp 2, PB (Product Backlog Item): user story bóc từ RQ, có Priority/Sprint/Story Point -&gt; Release Backlog</t>
        </is>
      </c>
    </row>
    <row r="9">
      <c r="A9" t="inlineStr">
        <is>
          <t>Cấp 3, Task: mỗi PB chia thành nhiều Task -&gt; Sprint Backlog (tách từng Sprint)</t>
        </is>
      </c>
    </row>
    <row r="11">
      <c r="A11" s="2" t="inlineStr">
        <is>
          <t>Công thức ước lượng (theo tài liệu 'Ước lượng số lượng Story')</t>
        </is>
      </c>
    </row>
    <row r="12">
      <c r="A12" t="inlineStr">
        <is>
          <t>UP  (Điểm chưa hiệu chỉnh) = Loại tương tác + Quy tắc nghiệp vụ + Số thực thể + Thao tác dữ liệu   (mỗi mục 1..3)</t>
        </is>
      </c>
    </row>
    <row r="13">
      <c r="A13" t="inlineStr">
        <is>
          <t>AP  (Điểm đã hiệu chỉnh)   = UP × C   (C = hệ số nhân)</t>
        </is>
      </c>
    </row>
    <row r="14">
      <c r="A14" t="inlineStr">
        <is>
          <t>PPS (Điểm cho mỗi Story)   = (AP × ED) / 36</t>
        </is>
      </c>
    </row>
    <row r="15">
      <c r="A15" t="inlineStr">
        <is>
          <t>ED  = tổng 18 yếu tố môi trường, mỗi yếu tố 0 hoặc 2  -&gt;  tối đa 36</t>
        </is>
      </c>
    </row>
    <row r="17">
      <c r="A17" s="2" t="inlineStr">
        <is>
          <t>Kết quả tính cho nhóm</t>
        </is>
      </c>
    </row>
    <row r="18">
      <c r="A18" t="inlineStr">
        <is>
          <t>ED của nhóm</t>
        </is>
      </c>
      <c r="B18">
        <f>'5. ED (Môi trường)'!D23</f>
        <v/>
      </c>
    </row>
    <row r="19">
      <c r="A19" t="inlineStr">
        <is>
          <t>Hệ số môi trường ED/36</t>
        </is>
      </c>
      <c r="B19">
        <f>'5. ED (Môi trường)'!D24</f>
        <v/>
      </c>
    </row>
    <row r="20">
      <c r="A20" t="inlineStr">
        <is>
          <t>C (hệ số nhân)</t>
        </is>
      </c>
      <c r="B20">
        <f>'6. Ước lượng Story'!C2</f>
        <v/>
      </c>
    </row>
    <row r="22">
      <c r="A22" s="2" t="inlineStr">
        <is>
          <t>Nhóm thực hiện</t>
        </is>
      </c>
    </row>
    <row r="23">
      <c r="A23" s="2" t="inlineStr">
        <is>
          <t>Vai trò</t>
        </is>
      </c>
      <c r="B23" s="2" t="inlineStr">
        <is>
          <t>Thành viên</t>
        </is>
      </c>
      <c r="C23" s="2" t="inlineStr">
        <is>
          <t>Trách nhiệm</t>
        </is>
      </c>
    </row>
    <row r="24">
      <c r="A24" t="inlineStr">
        <is>
          <t>PO</t>
        </is>
      </c>
      <c r="B24" t="inlineStr">
        <is>
          <t>[Thành viên 1]</t>
        </is>
      </c>
      <c r="C24" t="inlineStr">
        <is>
          <t>Product Owner: thu thập yêu cầu, viết Product Backlog, sắp ưu tiên, nghiệm thu</t>
        </is>
      </c>
    </row>
    <row r="25">
      <c r="A25" t="inlineStr">
        <is>
          <t>SM</t>
        </is>
      </c>
      <c r="B25" t="inlineStr">
        <is>
          <t>[Thành viên 2]</t>
        </is>
      </c>
      <c r="C25" t="inlineStr">
        <is>
          <t>Scrum Master: điều phối sprint, gỡ vướng, theo dõi tiến độ</t>
        </is>
      </c>
    </row>
    <row r="26">
      <c r="A26" t="inlineStr">
        <is>
          <t>DEV1</t>
        </is>
      </c>
      <c r="B26" t="inlineStr">
        <is>
          <t>[Thành viên 3]</t>
        </is>
      </c>
      <c r="C26" t="inlineStr">
        <is>
          <t>Dev Backend: Spring Boot / JPA / SQL Server</t>
        </is>
      </c>
    </row>
    <row r="27">
      <c r="A27" t="inlineStr">
        <is>
          <t>DEV2</t>
        </is>
      </c>
      <c r="B27" t="inlineStr">
        <is>
          <t>[Thành viên 4]</t>
        </is>
      </c>
      <c r="C27" t="inlineStr">
        <is>
          <t>Dev Frontend: Vue 3 SPA</t>
        </is>
      </c>
    </row>
    <row r="28">
      <c r="A28" t="inlineStr">
        <is>
          <t>DEV3</t>
        </is>
      </c>
      <c r="B28" t="inlineStr">
        <is>
          <t>[Thành viên 5]</t>
        </is>
      </c>
      <c r="C28" t="inlineStr">
        <is>
          <t>Dev Fullstack: tích hợp API, hỗ trợ 2 phía</t>
        </is>
      </c>
    </row>
    <row r="29">
      <c r="A29" t="inlineStr">
        <is>
          <t>QC</t>
        </is>
      </c>
      <c r="B29" t="inlineStr">
        <is>
          <t>[Thành viên 6]</t>
        </is>
      </c>
      <c r="C29" t="inlineStr">
        <is>
          <t>Kiểm thử: test chức năng, báo lỗi, xác nhận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6" customWidth="1" min="3" max="3"/>
    <col width="44" customWidth="1" min="4" max="4"/>
    <col width="9" customWidth="1" min="5" max="5"/>
    <col width="14" customWidth="1" min="6" max="6"/>
    <col width="40" customWidth="1" min="7" max="7"/>
    <col width="9" customWidth="1" min="8" max="8"/>
  </cols>
  <sheetData>
    <row r="1">
      <c r="A1" s="1" t="inlineStr">
        <is>
          <t>Product Backlog cấp Request (RQ): As a / I want / So that</t>
        </is>
      </c>
    </row>
    <row r="3">
      <c r="A3" s="3" t="inlineStr">
        <is>
          <t>ID</t>
        </is>
      </c>
      <c r="B3" s="3" t="inlineStr">
        <is>
          <t>As a/an [role]</t>
        </is>
      </c>
      <c r="C3" s="3" t="inlineStr">
        <is>
          <t>I want to [goal]</t>
        </is>
      </c>
      <c r="D3" s="3" t="inlineStr">
        <is>
          <t>So that [reason]</t>
        </is>
      </c>
      <c r="E3" s="3" t="inlineStr">
        <is>
          <t>Priority</t>
        </is>
      </c>
      <c r="F3" s="3" t="inlineStr">
        <is>
          <t>Business Value</t>
        </is>
      </c>
      <c r="G3" s="3" t="inlineStr">
        <is>
          <t>Acceptance Criteria</t>
        </is>
      </c>
      <c r="H3" s="3" t="inlineStr">
        <is>
          <t>State</t>
        </is>
      </c>
    </row>
    <row r="4">
      <c r="A4" s="4" t="inlineStr">
        <is>
          <t>RQ-01</t>
        </is>
      </c>
      <c r="B4" s="4" t="inlineStr">
        <is>
          <t>Là nhân viên</t>
        </is>
      </c>
      <c r="C4" s="4" t="inlineStr">
        <is>
          <t>đăng nhập và được cấp đúng quyền theo vai trò</t>
        </is>
      </c>
      <c r="D4" s="4" t="inlineStr">
        <is>
          <t>dùng hệ thống an toàn, đúng phạm vi</t>
        </is>
      </c>
      <c r="E4" s="5" t="n">
        <v>1</v>
      </c>
      <c r="F4" s="4" t="inlineStr">
        <is>
          <t>High</t>
        </is>
      </c>
      <c r="G4" s="4" t="inlineStr">
        <is>
          <t>Chức năng hoạt động đúng và được PO nghiệm thu</t>
        </is>
      </c>
      <c r="H4" s="4" t="inlineStr">
        <is>
          <t>New</t>
        </is>
      </c>
    </row>
    <row r="5">
      <c r="A5" s="4" t="inlineStr">
        <is>
          <t>RQ-02</t>
        </is>
      </c>
      <c r="B5" s="4" t="inlineStr">
        <is>
          <t>Là quản trị viên</t>
        </is>
      </c>
      <c r="C5" s="4" t="inlineStr">
        <is>
          <t>quản lý nhân viên và phân quyền truy cập theo vai trò và theo từng người</t>
        </is>
      </c>
      <c r="D5" s="4" t="inlineStr">
        <is>
          <t>kiểm soát ai được dùng chức năng nào</t>
        </is>
      </c>
      <c r="E5" s="5" t="n">
        <v>1</v>
      </c>
      <c r="F5" s="4" t="inlineStr">
        <is>
          <t>High</t>
        </is>
      </c>
      <c r="G5" s="4" t="inlineStr">
        <is>
          <t>Chức năng hoạt động đúng và được PO nghiệm thu</t>
        </is>
      </c>
      <c r="H5" s="4" t="inlineStr">
        <is>
          <t>New</t>
        </is>
      </c>
    </row>
    <row r="6">
      <c r="A6" s="4" t="inlineStr">
        <is>
          <t>RQ-03</t>
        </is>
      </c>
      <c r="B6" s="4" t="inlineStr">
        <is>
          <t>Là quản lý</t>
        </is>
      </c>
      <c r="C6" s="4" t="inlineStr">
        <is>
          <t>quản lý sản phẩm, biến thể màu/size, tồn kho, danh mục và thuộc tính</t>
        </is>
      </c>
      <c r="D6" s="4" t="inlineStr">
        <is>
          <t>quản trị được toàn bộ hàng hóa</t>
        </is>
      </c>
      <c r="E6" s="5" t="n">
        <v>2</v>
      </c>
      <c r="F6" s="4" t="inlineStr">
        <is>
          <t>High</t>
        </is>
      </c>
      <c r="G6" s="4" t="inlineStr">
        <is>
          <t>Chức năng hoạt động đúng và được PO nghiệm thu</t>
        </is>
      </c>
      <c r="H6" s="4" t="inlineStr">
        <is>
          <t>New</t>
        </is>
      </c>
    </row>
    <row r="7">
      <c r="A7" s="4" t="inlineStr">
        <is>
          <t>RQ-04</t>
        </is>
      </c>
      <c r="B7" s="4" t="inlineStr">
        <is>
          <t>Là nhân viên bán hàng</t>
        </is>
      </c>
      <c r="C7" s="4" t="inlineStr">
        <is>
          <t>bán tại quầy, tự trừ kho, thanh toán và in hóa đơn</t>
        </is>
      </c>
      <c r="D7" s="4" t="inlineStr">
        <is>
          <t>phục vụ khách nhanh và chính xác</t>
        </is>
      </c>
      <c r="E7" s="5" t="n">
        <v>1</v>
      </c>
      <c r="F7" s="4" t="inlineStr">
        <is>
          <t>High</t>
        </is>
      </c>
      <c r="G7" s="4" t="inlineStr">
        <is>
          <t>Chức năng hoạt động đúng và được PO nghiệm thu</t>
        </is>
      </c>
      <c r="H7" s="4" t="inlineStr">
        <is>
          <t>New</t>
        </is>
      </c>
    </row>
    <row r="8">
      <c r="A8" s="4" t="inlineStr">
        <is>
          <t>RQ-05</t>
        </is>
      </c>
      <c r="B8" s="4" t="inlineStr">
        <is>
          <t>Là nhân viên giao hàng</t>
        </is>
      </c>
      <c r="C8" s="4" t="inlineStr">
        <is>
          <t>tạo và theo dõi đơn giao, xử lý trả hàng và hoàn kho</t>
        </is>
      </c>
      <c r="D8" s="4" t="inlineStr">
        <is>
          <t>giao hàng tận nơi có kiểm soát</t>
        </is>
      </c>
      <c r="E8" s="5" t="n">
        <v>2</v>
      </c>
      <c r="F8" s="4" t="inlineStr">
        <is>
          <t>Medium</t>
        </is>
      </c>
      <c r="G8" s="4" t="inlineStr">
        <is>
          <t>Chức năng hoạt động đúng và được PO nghiệm thu</t>
        </is>
      </c>
      <c r="H8" s="4" t="inlineStr">
        <is>
          <t>New</t>
        </is>
      </c>
    </row>
    <row r="9">
      <c r="A9" s="4" t="inlineStr">
        <is>
          <t>RQ-06</t>
        </is>
      </c>
      <c r="B9" s="4" t="inlineStr">
        <is>
          <t>Là quản lý</t>
        </is>
      </c>
      <c r="C9" s="4" t="inlineStr">
        <is>
          <t>quản lý khách hàng và địa chỉ giao hàng</t>
        </is>
      </c>
      <c r="D9" s="4" t="inlineStr">
        <is>
          <t>chăm sóc khách và giao đúng địa chỉ</t>
        </is>
      </c>
      <c r="E9" s="5" t="n">
        <v>2</v>
      </c>
      <c r="F9" s="4" t="inlineStr">
        <is>
          <t>Medium</t>
        </is>
      </c>
      <c r="G9" s="4" t="inlineStr">
        <is>
          <t>Chức năng hoạt động đúng và được PO nghiệm thu</t>
        </is>
      </c>
      <c r="H9" s="4" t="inlineStr">
        <is>
          <t>New</t>
        </is>
      </c>
    </row>
    <row r="10">
      <c r="A10" s="4" t="inlineStr">
        <is>
          <t>RQ-07</t>
        </is>
      </c>
      <c r="B10" s="4" t="inlineStr">
        <is>
          <t>Là khách hàng</t>
        </is>
      </c>
      <c r="C10" s="4" t="inlineStr">
        <is>
          <t>xem cửa hàng online, mua giao tận nhà và đặt trước mẫu hết hàng</t>
        </is>
      </c>
      <c r="D10" s="4" t="inlineStr">
        <is>
          <t>mua sắm online thuận tiện</t>
        </is>
      </c>
      <c r="E10" s="5" t="n">
        <v>3</v>
      </c>
      <c r="F10" s="4" t="inlineStr">
        <is>
          <t>Medium</t>
        </is>
      </c>
      <c r="G10" s="4" t="inlineStr">
        <is>
          <t>Chức năng hoạt động đúng và được PO nghiệm thu</t>
        </is>
      </c>
      <c r="H10" s="4" t="inlineStr">
        <is>
          <t>New</t>
        </is>
      </c>
    </row>
    <row r="11">
      <c r="A11" s="4" t="inlineStr">
        <is>
          <t>RQ-08</t>
        </is>
      </c>
      <c r="B11" s="4" t="inlineStr">
        <is>
          <t>Là kế toán và chủ shop</t>
        </is>
      </c>
      <c r="C11" s="4" t="inlineStr">
        <is>
          <t>xem KPI, doanh thu, lợi nhuận, ROI và xuất báo cáo</t>
        </is>
      </c>
      <c r="D11" s="4" t="inlineStr">
        <is>
          <t>ra quyết định kinh doanh dựa trên dữ liệu</t>
        </is>
      </c>
      <c r="E11" s="5" t="n">
        <v>3</v>
      </c>
      <c r="F11" s="4" t="inlineStr">
        <is>
          <t>High</t>
        </is>
      </c>
      <c r="G11" s="4" t="inlineStr">
        <is>
          <t>Chức năng hoạt động đúng và được PO nghiệm thu</t>
        </is>
      </c>
      <c r="H11" s="4" t="inlineStr">
        <is>
          <t>New</t>
        </is>
      </c>
    </row>
    <row r="12">
      <c r="A12" s="4" t="inlineStr">
        <is>
          <t>RQ-09</t>
        </is>
      </c>
      <c r="B12" s="4" t="inlineStr">
        <is>
          <t>Là nhân viên bảo hành và quản lý</t>
        </is>
      </c>
      <c r="C12" s="4" t="inlineStr">
        <is>
          <t>tiếp nhận và xử lý bảo hành, quản lý phiếu giảm giá và khuyến mãi</t>
        </is>
      </c>
      <c r="D12" s="4" t="inlineStr">
        <is>
          <t>chăm sóc khách sau bán và thúc đẩy doanh số</t>
        </is>
      </c>
      <c r="E12" s="5" t="n">
        <v>3</v>
      </c>
      <c r="F12" s="4" t="inlineStr">
        <is>
          <t>Medium</t>
        </is>
      </c>
      <c r="G12" s="4" t="inlineStr">
        <is>
          <t>Chức năng hoạt động đúng và được PO nghiệm thu</t>
        </is>
      </c>
      <c r="H12" s="4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40" customWidth="1" min="4" max="4"/>
    <col width="40" customWidth="1" min="5" max="5"/>
    <col width="9" customWidth="1" min="6" max="6"/>
    <col width="9" customWidth="1" min="7" max="7"/>
    <col width="14" customWidth="1" min="8" max="8"/>
    <col width="9" customWidth="1" min="9" max="9"/>
    <col width="9" customWidth="1" min="10" max="10"/>
    <col width="12" customWidth="1" min="11" max="11"/>
  </cols>
  <sheetData>
    <row r="1">
      <c r="A1" s="1" t="inlineStr">
        <is>
          <t>Release Backlog: user story theo Backlog (RQ) và Sprint</t>
        </is>
      </c>
    </row>
    <row r="3">
      <c r="A3" s="3" t="inlineStr">
        <is>
          <t>Backlog ID</t>
        </is>
      </c>
      <c r="B3" s="3" t="inlineStr">
        <is>
          <t>Backlog</t>
        </is>
      </c>
      <c r="C3" s="3" t="inlineStr">
        <is>
          <t>As a/an [role]</t>
        </is>
      </c>
      <c r="D3" s="3" t="inlineStr">
        <is>
          <t>I want to [goal]</t>
        </is>
      </c>
      <c r="E3" s="3" t="inlineStr">
        <is>
          <t>So that [reason]</t>
        </is>
      </c>
      <c r="F3" s="3" t="inlineStr">
        <is>
          <t>Story ID</t>
        </is>
      </c>
      <c r="G3" s="3" t="inlineStr">
        <is>
          <t>Priority</t>
        </is>
      </c>
      <c r="H3" s="3" t="inlineStr">
        <is>
          <t>Business Value</t>
        </is>
      </c>
      <c r="I3" s="3" t="inlineStr">
        <is>
          <t>Sprint#</t>
        </is>
      </c>
      <c r="J3" s="3" t="inlineStr">
        <is>
          <t>State</t>
        </is>
      </c>
      <c r="K3" s="3" t="inlineStr">
        <is>
          <t>Story Points</t>
        </is>
      </c>
    </row>
    <row r="4">
      <c r="A4" s="4" t="inlineStr">
        <is>
          <t>RQ-01</t>
        </is>
      </c>
      <c r="B4" s="4" t="inlineStr">
        <is>
          <t>Đăng nhập</t>
        </is>
      </c>
      <c r="C4" s="4" t="inlineStr">
        <is>
          <t>Là Nhân viên</t>
        </is>
      </c>
      <c r="D4" s="4" t="inlineStr">
        <is>
          <t>đăng nhập để dùng hệ thống theo đúng quyền</t>
        </is>
      </c>
      <c r="E4" s="4" t="inlineStr">
        <is>
          <t>Xác thực tài khoản, lấy vai trò &amp; quyền truy cập màn hình</t>
        </is>
      </c>
      <c r="F4" s="4" t="inlineStr">
        <is>
          <t>PB-01</t>
        </is>
      </c>
      <c r="G4" s="5" t="n">
        <v>1</v>
      </c>
      <c r="H4" s="4" t="inlineStr">
        <is>
          <t>High</t>
        </is>
      </c>
      <c r="I4" s="5" t="n">
        <v>1</v>
      </c>
      <c r="J4" s="4" t="inlineStr">
        <is>
          <t>New</t>
        </is>
      </c>
      <c r="K4" s="5">
        <f>VLOOKUP(F4,'6. Ước lượng Story'!$A$5:$L$44,12,FALSE)</f>
        <v/>
      </c>
    </row>
    <row r="5">
      <c r="A5" s="4" t="inlineStr">
        <is>
          <t>RQ-02</t>
        </is>
      </c>
      <c r="B5" s="4" t="inlineStr">
        <is>
          <t>Nhân viên &amp; Phân quyền</t>
        </is>
      </c>
      <c r="C5" s="4" t="inlineStr">
        <is>
          <t>Là Quản trị</t>
        </is>
      </c>
      <c r="D5" s="4" t="inlineStr">
        <is>
          <t>CRUD nhân viên</t>
        </is>
      </c>
      <c r="E5" s="4" t="inlineStr">
        <is>
          <t>Thêm/sửa/xóa/tìm nhân viên, gán vai trò</t>
        </is>
      </c>
      <c r="F5" s="4" t="inlineStr">
        <is>
          <t>PB-02</t>
        </is>
      </c>
      <c r="G5" s="5" t="n">
        <v>1</v>
      </c>
      <c r="H5" s="4" t="inlineStr">
        <is>
          <t>High</t>
        </is>
      </c>
      <c r="I5" s="5" t="n">
        <v>1</v>
      </c>
      <c r="J5" s="4" t="inlineStr">
        <is>
          <t>New</t>
        </is>
      </c>
      <c r="K5" s="5">
        <f>VLOOKUP(F5,'6. Ước lượng Story'!$A$5:$L$44,12,FALSE)</f>
        <v/>
      </c>
    </row>
    <row r="6">
      <c r="A6" s="4" t="inlineStr">
        <is>
          <t>RQ-02</t>
        </is>
      </c>
      <c r="B6" s="4" t="inlineStr">
        <is>
          <t>Nhân viên &amp; Phân quyền</t>
        </is>
      </c>
      <c r="C6" s="4" t="inlineStr">
        <is>
          <t>Là Quản trị</t>
        </is>
      </c>
      <c r="D6" s="4" t="inlineStr">
        <is>
          <t>đặt bộ quyền mặc định cho từng vai trò</t>
        </is>
      </c>
      <c r="E6" s="4" t="inlineStr">
        <is>
          <t>Vai trò là template: bộ quyền mặc định chép cho nhân viên khi tạo mới hoặc đổi vai trò</t>
        </is>
      </c>
      <c r="F6" s="4" t="inlineStr">
        <is>
          <t>PB-03</t>
        </is>
      </c>
      <c r="G6" s="5" t="n">
        <v>1</v>
      </c>
      <c r="H6" s="4" t="inlineStr">
        <is>
          <t>High</t>
        </is>
      </c>
      <c r="I6" s="5" t="n">
        <v>1</v>
      </c>
      <c r="J6" s="4" t="inlineStr">
        <is>
          <t>New</t>
        </is>
      </c>
      <c r="K6" s="5">
        <f>VLOOKUP(F6,'6. Ước lượng Story'!$A$5:$L$44,12,FALSE)</f>
        <v/>
      </c>
    </row>
    <row r="7">
      <c r="A7" s="4" t="inlineStr">
        <is>
          <t>RQ-02</t>
        </is>
      </c>
      <c r="B7" s="4" t="inlineStr">
        <is>
          <t>Nhân viên &amp; Phân quyền</t>
        </is>
      </c>
      <c r="C7" s="4" t="inlineStr">
        <is>
          <t>Là Quản trị</t>
        </is>
      </c>
      <c r="D7" s="4" t="inlineStr">
        <is>
          <t>phân quyền truy cập cho từng nhân viên</t>
        </is>
      </c>
      <c r="E7" s="4" t="inlineStr">
        <is>
          <t>Lưới nhân viên x màn hình; vai trò chỉ là template, mỗi người mở rộng thêm được</t>
        </is>
      </c>
      <c r="F7" s="4" t="inlineStr">
        <is>
          <t>PB-04</t>
        </is>
      </c>
      <c r="G7" s="5" t="n">
        <v>1</v>
      </c>
      <c r="H7" s="4" t="inlineStr">
        <is>
          <t>High</t>
        </is>
      </c>
      <c r="I7" s="5" t="n">
        <v>1</v>
      </c>
      <c r="J7" s="4" t="inlineStr">
        <is>
          <t>New</t>
        </is>
      </c>
      <c r="K7" s="5">
        <f>VLOOKUP(F7,'6. Ước lượng Story'!$A$5:$L$44,12,FALSE)</f>
        <v/>
      </c>
    </row>
    <row r="8">
      <c r="A8" s="4" t="inlineStr">
        <is>
          <t>RQ-03</t>
        </is>
      </c>
      <c r="B8" s="4" t="inlineStr">
        <is>
          <t>Quản lý sản phẩm &amp; danh mục</t>
        </is>
      </c>
      <c r="C8" s="4" t="inlineStr">
        <is>
          <t>Là Quản lý</t>
        </is>
      </c>
      <c r="D8" s="4" t="inlineStr">
        <is>
          <t>CRUD sản phẩm để quản trị danh mục hàng</t>
        </is>
      </c>
      <c r="E8" s="4" t="inlineStr">
        <is>
          <t>Thêm/sửa/xóa mềm/khôi phục/thùng rác sản phẩm</t>
        </is>
      </c>
      <c r="F8" s="4" t="inlineStr">
        <is>
          <t>PB-05</t>
        </is>
      </c>
      <c r="G8" s="5" t="n">
        <v>2</v>
      </c>
      <c r="H8" s="4" t="inlineStr">
        <is>
          <t>High</t>
        </is>
      </c>
      <c r="I8" s="5" t="n">
        <v>2</v>
      </c>
      <c r="J8" s="4" t="inlineStr">
        <is>
          <t>New</t>
        </is>
      </c>
      <c r="K8" s="5">
        <f>VLOOKUP(F8,'6. Ước lượng Story'!$A$5:$L$44,12,FALSE)</f>
        <v/>
      </c>
    </row>
    <row r="9">
      <c r="A9" s="4" t="inlineStr">
        <is>
          <t>RQ-03</t>
        </is>
      </c>
      <c r="B9" s="4" t="inlineStr">
        <is>
          <t>Quản lý sản phẩm &amp; danh mục</t>
        </is>
      </c>
      <c r="C9" s="4" t="inlineStr">
        <is>
          <t>Là Quản lý</t>
        </is>
      </c>
      <c r="D9" s="4" t="inlineStr">
        <is>
          <t>quản lý biến thể (màu/size/giá/giá nhập)</t>
        </is>
      </c>
      <c r="E9" s="4" t="inlineStr">
        <is>
          <t>CRUD biến thể, sửa giá bán &amp; giá vốn, trạng thái bán</t>
        </is>
      </c>
      <c r="F9" s="4" t="inlineStr">
        <is>
          <t>PB-06</t>
        </is>
      </c>
      <c r="G9" s="5" t="n">
        <v>2</v>
      </c>
      <c r="H9" s="4" t="inlineStr">
        <is>
          <t>High</t>
        </is>
      </c>
      <c r="I9" s="5" t="n">
        <v>2</v>
      </c>
      <c r="J9" s="4" t="inlineStr">
        <is>
          <t>New</t>
        </is>
      </c>
      <c r="K9" s="5">
        <f>VLOOKUP(F9,'6. Ước lượng Story'!$A$5:$L$44,12,FALSE)</f>
        <v/>
      </c>
    </row>
    <row r="10">
      <c r="A10" s="4" t="inlineStr">
        <is>
          <t>RQ-03</t>
        </is>
      </c>
      <c r="B10" s="4" t="inlineStr">
        <is>
          <t>Quản lý sản phẩm &amp; danh mục</t>
        </is>
      </c>
      <c r="C10" s="4" t="inlineStr">
        <is>
          <t>Là Nhân viên kho</t>
        </is>
      </c>
      <c r="D10" s="4" t="inlineStr">
        <is>
          <t>nhập kho để tăng tồn</t>
        </is>
      </c>
      <c r="E10" s="4" t="inlineStr">
        <is>
          <t>Cộng số lượng tồn cho biến thể</t>
        </is>
      </c>
      <c r="F10" s="4" t="inlineStr">
        <is>
          <t>PB-07</t>
        </is>
      </c>
      <c r="G10" s="5" t="n">
        <v>2</v>
      </c>
      <c r="H10" s="4" t="inlineStr">
        <is>
          <t>Medium</t>
        </is>
      </c>
      <c r="I10" s="5" t="n">
        <v>2</v>
      </c>
      <c r="J10" s="4" t="inlineStr">
        <is>
          <t>New</t>
        </is>
      </c>
      <c r="K10" s="5">
        <f>VLOOKUP(F10,'6. Ước lượng Story'!$A$5:$L$44,12,FALSE)</f>
        <v/>
      </c>
    </row>
    <row r="11">
      <c r="A11" s="4" t="inlineStr">
        <is>
          <t>RQ-03</t>
        </is>
      </c>
      <c r="B11" s="4" t="inlineStr">
        <is>
          <t>Quản lý sản phẩm &amp; danh mục</t>
        </is>
      </c>
      <c r="C11" s="4" t="inlineStr">
        <is>
          <t>Là Quản lý</t>
        </is>
      </c>
      <c r="D11" s="4" t="inlineStr">
        <is>
          <t>quản lý danh mục và xếp sản phẩm vào danh mục</t>
        </is>
      </c>
      <c r="E11" s="4" t="inlineStr">
        <is>
          <t>CRUD danh mục, gán/bỏ sản phẩm khỏi danh mục</t>
        </is>
      </c>
      <c r="F11" s="4" t="inlineStr">
        <is>
          <t>PB-08</t>
        </is>
      </c>
      <c r="G11" s="5" t="n">
        <v>2</v>
      </c>
      <c r="H11" s="4" t="inlineStr">
        <is>
          <t>Medium</t>
        </is>
      </c>
      <c r="I11" s="5" t="n">
        <v>2</v>
      </c>
      <c r="J11" s="4" t="inlineStr">
        <is>
          <t>New</t>
        </is>
      </c>
      <c r="K11" s="5">
        <f>VLOOKUP(F11,'6. Ước lượng Story'!$A$5:$L$44,12,FALSE)</f>
        <v/>
      </c>
    </row>
    <row r="12">
      <c r="A12" s="4" t="inlineStr">
        <is>
          <t>RQ-03</t>
        </is>
      </c>
      <c r="B12" s="4" t="inlineStr">
        <is>
          <t>Quản lý sản phẩm &amp; danh mục</t>
        </is>
      </c>
      <c r="C12" s="4" t="inlineStr">
        <is>
          <t>Là Quản lý</t>
        </is>
      </c>
      <c r="D12" s="4" t="inlineStr">
        <is>
          <t>quản lý thuộc tính sản phẩm</t>
        </is>
      </c>
      <c r="E12" s="4" t="inlineStr">
        <is>
          <t>CRUD 8 nhóm thuộc tính, lọc theo đúng loại</t>
        </is>
      </c>
      <c r="F12" s="4" t="inlineStr">
        <is>
          <t>PB-09</t>
        </is>
      </c>
      <c r="G12" s="5" t="n">
        <v>2</v>
      </c>
      <c r="H12" s="4" t="inlineStr">
        <is>
          <t>Medium</t>
        </is>
      </c>
      <c r="I12" s="5" t="n">
        <v>2</v>
      </c>
      <c r="J12" s="4" t="inlineStr">
        <is>
          <t>New</t>
        </is>
      </c>
      <c r="K12" s="5">
        <f>VLOOKUP(F12,'6. Ước lượng Story'!$A$5:$L$44,12,FALSE)</f>
        <v/>
      </c>
    </row>
    <row r="13">
      <c r="A13" s="4" t="inlineStr">
        <is>
          <t>RQ-03</t>
        </is>
      </c>
      <c r="B13" s="4" t="inlineStr">
        <is>
          <t>Quản lý sản phẩm &amp; danh mục</t>
        </is>
      </c>
      <c r="C13" s="4" t="inlineStr">
        <is>
          <t>Là Quản lý</t>
        </is>
      </c>
      <c r="D13" s="4" t="inlineStr">
        <is>
          <t>thao tác sản phẩm, danh mục, thuộc tính trong cùng một màn</t>
        </is>
      </c>
      <c r="E13" s="4" t="inlineStr">
        <is>
          <t>Gộp danh mục và thuộc tính thành tab của Quản lý sản phẩm, bớt nhảy màn</t>
        </is>
      </c>
      <c r="F13" s="4" t="inlineStr">
        <is>
          <t>PB-10</t>
        </is>
      </c>
      <c r="G13" s="5" t="n">
        <v>3</v>
      </c>
      <c r="H13" s="4" t="inlineStr">
        <is>
          <t>Low</t>
        </is>
      </c>
      <c r="I13" s="5" t="n">
        <v>2</v>
      </c>
      <c r="J13" s="4" t="inlineStr">
        <is>
          <t>New</t>
        </is>
      </c>
      <c r="K13" s="5">
        <f>VLOOKUP(F13,'6. Ước lượng Story'!$A$5:$L$44,12,FALSE)</f>
        <v/>
      </c>
    </row>
    <row r="14">
      <c r="A14" s="4" t="inlineStr">
        <is>
          <t>RQ-04</t>
        </is>
      </c>
      <c r="B14" s="4" t="inlineStr">
        <is>
          <t>Bán hàng tại quầy (POS)</t>
        </is>
      </c>
      <c r="C14" s="4" t="inlineStr">
        <is>
          <t>Là Nhân viên</t>
        </is>
      </c>
      <c r="D14" s="4" t="inlineStr">
        <is>
          <t>tạo hóa đơn chờ để bắt đầu một lượt bán</t>
        </is>
      </c>
      <c r="E14" s="4" t="inlineStr">
        <is>
          <t>Sinh mã HĐ, trạng thái Chờ, tối đa 3 hóa đơn chờ</t>
        </is>
      </c>
      <c r="F14" s="4" t="inlineStr">
        <is>
          <t>PB-11</t>
        </is>
      </c>
      <c r="G14" s="5" t="n">
        <v>1</v>
      </c>
      <c r="H14" s="4" t="inlineStr">
        <is>
          <t>High</t>
        </is>
      </c>
      <c r="I14" s="5" t="n">
        <v>3</v>
      </c>
      <c r="J14" s="4" t="inlineStr">
        <is>
          <t>New</t>
        </is>
      </c>
      <c r="K14" s="5">
        <f>VLOOKUP(F14,'6. Ước lượng Story'!$A$5:$L$44,12,FALSE)</f>
        <v/>
      </c>
    </row>
    <row r="15">
      <c r="A15" s="4" t="inlineStr">
        <is>
          <t>RQ-04</t>
        </is>
      </c>
      <c r="B15" s="4" t="inlineStr">
        <is>
          <t>Bán hàng tại quầy (POS)</t>
        </is>
      </c>
      <c r="C15" s="4" t="inlineStr">
        <is>
          <t>Là Nhân viên</t>
        </is>
      </c>
      <c r="D15" s="4" t="inlineStr">
        <is>
          <t>thêm hàng vào giỏ và hệ thống tự trừ kho</t>
        </is>
      </c>
      <c r="E15" s="4" t="inlineStr">
        <is>
          <t>Thêm dòng hóa đơn, trừ tồn nguyên tử, tính lại tổng tiền</t>
        </is>
      </c>
      <c r="F15" s="4" t="inlineStr">
        <is>
          <t>PB-12</t>
        </is>
      </c>
      <c r="G15" s="5" t="n">
        <v>1</v>
      </c>
      <c r="H15" s="4" t="inlineStr">
        <is>
          <t>High</t>
        </is>
      </c>
      <c r="I15" s="5" t="n">
        <v>3</v>
      </c>
      <c r="J15" s="4" t="inlineStr">
        <is>
          <t>New</t>
        </is>
      </c>
      <c r="K15" s="5">
        <f>VLOOKUP(F15,'6. Ước lượng Story'!$A$5:$L$44,12,FALSE)</f>
        <v/>
      </c>
    </row>
    <row r="16">
      <c r="A16" s="4" t="inlineStr">
        <is>
          <t>RQ-04</t>
        </is>
      </c>
      <c r="B16" s="4" t="inlineStr">
        <is>
          <t>Bán hàng tại quầy (POS)</t>
        </is>
      </c>
      <c r="C16" s="4" t="inlineStr">
        <is>
          <t>Là Nhân viên</t>
        </is>
      </c>
      <c r="D16" s="4" t="inlineStr">
        <is>
          <t>áp phiếu giảm giá cho hóa đơn</t>
        </is>
      </c>
      <c r="E16" s="4" t="inlineStr">
        <is>
          <t>Kiểm tra đơn tối thiểu, loại %/tiền, giảm tối đa</t>
        </is>
      </c>
      <c r="F16" s="4" t="inlineStr">
        <is>
          <t>PB-13</t>
        </is>
      </c>
      <c r="G16" s="5" t="n">
        <v>2</v>
      </c>
      <c r="H16" s="4" t="inlineStr">
        <is>
          <t>Medium</t>
        </is>
      </c>
      <c r="I16" s="5" t="n">
        <v>3</v>
      </c>
      <c r="J16" s="4" t="inlineStr">
        <is>
          <t>New</t>
        </is>
      </c>
      <c r="K16" s="5">
        <f>VLOOKUP(F16,'6. Ước lượng Story'!$A$5:$L$44,12,FALSE)</f>
        <v/>
      </c>
    </row>
    <row r="17">
      <c r="A17" s="4" t="inlineStr">
        <is>
          <t>RQ-04</t>
        </is>
      </c>
      <c r="B17" s="4" t="inlineStr">
        <is>
          <t>Bán hàng tại quầy (POS)</t>
        </is>
      </c>
      <c r="C17" s="4" t="inlineStr">
        <is>
          <t>Là Nhân viên</t>
        </is>
      </c>
      <c r="D17" s="4" t="inlineStr">
        <is>
          <t>thanh toán tiền mặt / chuyển khoản / kết hợp</t>
        </is>
      </c>
      <c r="E17" s="4" t="inlineStr">
        <is>
          <t>Kiểm tiền khách đưa, VietQR, chốt trạng thái, ghi lịch sử</t>
        </is>
      </c>
      <c r="F17" s="4" t="inlineStr">
        <is>
          <t>PB-14</t>
        </is>
      </c>
      <c r="G17" s="5" t="n">
        <v>1</v>
      </c>
      <c r="H17" s="4" t="inlineStr">
        <is>
          <t>High</t>
        </is>
      </c>
      <c r="I17" s="5" t="n">
        <v>3</v>
      </c>
      <c r="J17" s="4" t="inlineStr">
        <is>
          <t>New</t>
        </is>
      </c>
      <c r="K17" s="5">
        <f>VLOOKUP(F17,'6. Ước lượng Story'!$A$5:$L$44,12,FALSE)</f>
        <v/>
      </c>
    </row>
    <row r="18">
      <c r="A18" s="4" t="inlineStr">
        <is>
          <t>RQ-04</t>
        </is>
      </c>
      <c r="B18" s="4" t="inlineStr">
        <is>
          <t>Bán hàng tại quầy (POS)</t>
        </is>
      </c>
      <c r="C18" s="4" t="inlineStr">
        <is>
          <t>Là Nhân viên</t>
        </is>
      </c>
      <c r="D18" s="4" t="inlineStr">
        <is>
          <t>in hóa đơn / phiếu tạm tính cho khách</t>
        </is>
      </c>
      <c r="E18" s="4" t="inlineStr">
        <is>
          <t>Kết xuất phiếu và gửi lệnh in</t>
        </is>
      </c>
      <c r="F18" s="4" t="inlineStr">
        <is>
          <t>PB-15</t>
        </is>
      </c>
      <c r="G18" s="5" t="n">
        <v>1</v>
      </c>
      <c r="H18" s="4" t="inlineStr">
        <is>
          <t>High</t>
        </is>
      </c>
      <c r="I18" s="5" t="n">
        <v>3</v>
      </c>
      <c r="J18" s="4" t="inlineStr">
        <is>
          <t>New</t>
        </is>
      </c>
      <c r="K18" s="5">
        <f>VLOOKUP(F18,'6. Ước lượng Story'!$A$5:$L$44,12,FALSE)</f>
        <v/>
      </c>
    </row>
    <row r="19">
      <c r="A19" s="4" t="inlineStr">
        <is>
          <t>RQ-04</t>
        </is>
      </c>
      <c r="B19" s="4" t="inlineStr">
        <is>
          <t>Bán hàng tại quầy (POS)</t>
        </is>
      </c>
      <c r="C19" s="4" t="inlineStr">
        <is>
          <t>Là Nhân viên</t>
        </is>
      </c>
      <c r="D19" s="4" t="inlineStr">
        <is>
          <t>hủy hóa đơn và hoàn lại kho</t>
        </is>
      </c>
      <c r="E19" s="4" t="inlineStr">
        <is>
          <t>Đổi trạng thái Hủy, cộng trả tồn kho, ghi lịch sử</t>
        </is>
      </c>
      <c r="F19" s="4" t="inlineStr">
        <is>
          <t>PB-16</t>
        </is>
      </c>
      <c r="G19" s="5" t="n">
        <v>2</v>
      </c>
      <c r="H19" s="4" t="inlineStr">
        <is>
          <t>Medium</t>
        </is>
      </c>
      <c r="I19" s="5" t="n">
        <v>3</v>
      </c>
      <c r="J19" s="4" t="inlineStr">
        <is>
          <t>New</t>
        </is>
      </c>
      <c r="K19" s="5">
        <f>VLOOKUP(F19,'6. Ước lượng Story'!$A$5:$L$44,12,FALSE)</f>
        <v/>
      </c>
    </row>
    <row r="20">
      <c r="A20" s="4" t="inlineStr">
        <is>
          <t>RQ-04</t>
        </is>
      </c>
      <c r="B20" s="4" t="inlineStr">
        <is>
          <t>Bán hàng tại quầy (POS)</t>
        </is>
      </c>
      <c r="C20" s="4" t="inlineStr">
        <is>
          <t>Là Nhân viên</t>
        </is>
      </c>
      <c r="D20" s="4" t="inlineStr">
        <is>
          <t>quét QR/mã vạch để thêm sản phẩm nhanh</t>
        </is>
      </c>
      <c r="E20" s="4" t="inlineStr">
        <is>
          <t>Bật camera, giải mã, tra cứu biến thể theo mã</t>
        </is>
      </c>
      <c r="F20" s="4" t="inlineStr">
        <is>
          <t>PB-17</t>
        </is>
      </c>
      <c r="G20" s="5" t="n">
        <v>2</v>
      </c>
      <c r="H20" s="4" t="inlineStr">
        <is>
          <t>Medium</t>
        </is>
      </c>
      <c r="I20" s="5" t="n">
        <v>3</v>
      </c>
      <c r="J20" s="4" t="inlineStr">
        <is>
          <t>New</t>
        </is>
      </c>
      <c r="K20" s="5">
        <f>VLOOKUP(F20,'6. Ước lượng Story'!$A$5:$L$44,12,FALSE)</f>
        <v/>
      </c>
    </row>
    <row r="21">
      <c r="A21" s="4" t="inlineStr">
        <is>
          <t>RQ-04</t>
        </is>
      </c>
      <c r="B21" s="4" t="inlineStr">
        <is>
          <t>Bán hàng tại quầy (POS)</t>
        </is>
      </c>
      <c r="C21" s="4" t="inlineStr">
        <is>
          <t>Là Nhân viên</t>
        </is>
      </c>
      <c r="D21" s="4" t="inlineStr">
        <is>
          <t>thêm nhanh khách hàng ngay tại quầy</t>
        </is>
      </c>
      <c r="E21" s="4" t="inlineStr">
        <is>
          <t>Popup thêm khách (chỉ thêm, không xem danh sách)</t>
        </is>
      </c>
      <c r="F21" s="4" t="inlineStr">
        <is>
          <t>PB-18</t>
        </is>
      </c>
      <c r="G21" s="5" t="n">
        <v>2</v>
      </c>
      <c r="H21" s="4" t="inlineStr">
        <is>
          <t>Medium</t>
        </is>
      </c>
      <c r="I21" s="5" t="n">
        <v>3</v>
      </c>
      <c r="J21" s="4" t="inlineStr">
        <is>
          <t>New</t>
        </is>
      </c>
      <c r="K21" s="5">
        <f>VLOOKUP(F21,'6. Ước lượng Story'!$A$5:$L$44,12,FALSE)</f>
        <v/>
      </c>
    </row>
    <row r="22">
      <c r="A22" s="4" t="inlineStr">
        <is>
          <t>RQ-05</t>
        </is>
      </c>
      <c r="B22" s="4" t="inlineStr">
        <is>
          <t>Đơn đặt hàng &amp; Giao hàng</t>
        </is>
      </c>
      <c r="C22" s="4" t="inlineStr">
        <is>
          <t>Là Nhân viên</t>
        </is>
      </c>
      <c r="D22" s="4" t="inlineStr">
        <is>
          <t>tạo đơn giao hàng kèm phí ship</t>
        </is>
      </c>
      <c r="E22" s="4" t="inlineStr">
        <is>
          <t>Thanh toán + phí ship, chuyển trạng thái Chờ giao</t>
        </is>
      </c>
      <c r="F22" s="4" t="inlineStr">
        <is>
          <t>PB-19</t>
        </is>
      </c>
      <c r="G22" s="5" t="n">
        <v>2</v>
      </c>
      <c r="H22" s="4" t="inlineStr">
        <is>
          <t>High</t>
        </is>
      </c>
      <c r="I22" s="5" t="n">
        <v>4</v>
      </c>
      <c r="J22" s="4" t="inlineStr">
        <is>
          <t>New</t>
        </is>
      </c>
      <c r="K22" s="5">
        <f>VLOOKUP(F22,'6. Ước lượng Story'!$A$5:$L$44,12,FALSE)</f>
        <v/>
      </c>
    </row>
    <row r="23">
      <c r="A23" s="4" t="inlineStr">
        <is>
          <t>RQ-05</t>
        </is>
      </c>
      <c r="B23" s="4" t="inlineStr">
        <is>
          <t>Đơn đặt hàng &amp; Giao hàng</t>
        </is>
      </c>
      <c r="C23" s="4" t="inlineStr">
        <is>
          <t>Là Nhân viên</t>
        </is>
      </c>
      <c r="D23" s="4" t="inlineStr">
        <is>
          <t>cập nhật trạng thái Đã giao</t>
        </is>
      </c>
      <c r="E23" s="4" t="inlineStr">
        <is>
          <t>Chuyển Chờ giao -&gt; Đã giao, ghi lịch sử</t>
        </is>
      </c>
      <c r="F23" s="4" t="inlineStr">
        <is>
          <t>PB-20</t>
        </is>
      </c>
      <c r="G23" s="5" t="n">
        <v>2</v>
      </c>
      <c r="H23" s="4" t="inlineStr">
        <is>
          <t>Medium</t>
        </is>
      </c>
      <c r="I23" s="5" t="n">
        <v>4</v>
      </c>
      <c r="J23" s="4" t="inlineStr">
        <is>
          <t>New</t>
        </is>
      </c>
      <c r="K23" s="5">
        <f>VLOOKUP(F23,'6. Ước lượng Story'!$A$5:$L$44,12,FALSE)</f>
        <v/>
      </c>
    </row>
    <row r="24">
      <c r="A24" s="4" t="inlineStr">
        <is>
          <t>RQ-05</t>
        </is>
      </c>
      <c r="B24" s="4" t="inlineStr">
        <is>
          <t>Đơn đặt hàng &amp; Giao hàng</t>
        </is>
      </c>
      <c r="C24" s="4" t="inlineStr">
        <is>
          <t>Là Quản lý</t>
        </is>
      </c>
      <c r="D24" s="4" t="inlineStr">
        <is>
          <t>xử lý trả hàng và hoàn kho</t>
        </is>
      </c>
      <c r="E24" s="4" t="inlineStr">
        <is>
          <t>Trạng thái Trả hàng, cộng trả tồn, ghi lịch sử</t>
        </is>
      </c>
      <c r="F24" s="4" t="inlineStr">
        <is>
          <t>PB-21</t>
        </is>
      </c>
      <c r="G24" s="5" t="n">
        <v>2</v>
      </c>
      <c r="H24" s="4" t="inlineStr">
        <is>
          <t>Medium</t>
        </is>
      </c>
      <c r="I24" s="5" t="n">
        <v>4</v>
      </c>
      <c r="J24" s="4" t="inlineStr">
        <is>
          <t>New</t>
        </is>
      </c>
      <c r="K24" s="5">
        <f>VLOOKUP(F24,'6. Ước lượng Story'!$A$5:$L$44,12,FALSE)</f>
        <v/>
      </c>
    </row>
    <row r="25">
      <c r="A25" s="4" t="inlineStr">
        <is>
          <t>RQ-06</t>
        </is>
      </c>
      <c r="B25" s="4" t="inlineStr">
        <is>
          <t>Quản lý khách hàng</t>
        </is>
      </c>
      <c r="C25" s="4" t="inlineStr">
        <is>
          <t>Là Quản lý</t>
        </is>
      </c>
      <c r="D25" s="4" t="inlineStr">
        <is>
          <t>CRUD khách hàng</t>
        </is>
      </c>
      <c r="E25" s="4" t="inlineStr">
        <is>
          <t>Thêm/sửa/xóa/tìm kiếm khách hàng</t>
        </is>
      </c>
      <c r="F25" s="4" t="inlineStr">
        <is>
          <t>PB-22</t>
        </is>
      </c>
      <c r="G25" s="5" t="n">
        <v>2</v>
      </c>
      <c r="H25" s="4" t="inlineStr">
        <is>
          <t>Medium</t>
        </is>
      </c>
      <c r="I25" s="5" t="n">
        <v>4</v>
      </c>
      <c r="J25" s="4" t="inlineStr">
        <is>
          <t>New</t>
        </is>
      </c>
      <c r="K25" s="5">
        <f>VLOOKUP(F25,'6. Ước lượng Story'!$A$5:$L$44,12,FALSE)</f>
        <v/>
      </c>
    </row>
    <row r="26">
      <c r="A26" s="4" t="inlineStr">
        <is>
          <t>RQ-06</t>
        </is>
      </c>
      <c r="B26" s="4" t="inlineStr">
        <is>
          <t>Quản lý khách hàng</t>
        </is>
      </c>
      <c r="C26" s="4" t="inlineStr">
        <is>
          <t>Là Quản lý</t>
        </is>
      </c>
      <c r="D26" s="4" t="inlineStr">
        <is>
          <t>quản lý địa chỉ giao hàng của khách</t>
        </is>
      </c>
      <c r="E26" s="4" t="inlineStr">
        <is>
          <t>CRUD nhiều địa chỉ cho mỗi khách</t>
        </is>
      </c>
      <c r="F26" s="4" t="inlineStr">
        <is>
          <t>PB-23</t>
        </is>
      </c>
      <c r="G26" s="5" t="n">
        <v>2</v>
      </c>
      <c r="H26" s="4" t="inlineStr">
        <is>
          <t>Medium</t>
        </is>
      </c>
      <c r="I26" s="5" t="n">
        <v>4</v>
      </c>
      <c r="J26" s="4" t="inlineStr">
        <is>
          <t>New</t>
        </is>
      </c>
      <c r="K26" s="5">
        <f>VLOOKUP(F26,'6. Ước lượng Story'!$A$5:$L$44,12,FALSE)</f>
        <v/>
      </c>
    </row>
    <row r="27">
      <c r="A27" s="4" t="inlineStr">
        <is>
          <t>RQ-07</t>
        </is>
      </c>
      <c r="B27" s="4" t="inlineStr">
        <is>
          <t>Cửa hàng online &amp; Preorder</t>
        </is>
      </c>
      <c r="C27" s="4" t="inlineStr">
        <is>
          <t>Là Khách hàng</t>
        </is>
      </c>
      <c r="D27" s="4" t="inlineStr">
        <is>
          <t>xem trang chủ cửa hàng</t>
        </is>
      </c>
      <c r="E27" s="4" t="inlineStr">
        <is>
          <t>Danh mục giày, sản phẩm, sắp xếp giá/bán chạy</t>
        </is>
      </c>
      <c r="F27" s="4" t="inlineStr">
        <is>
          <t>PB-24</t>
        </is>
      </c>
      <c r="G27" s="5" t="n">
        <v>3</v>
      </c>
      <c r="H27" s="4" t="inlineStr">
        <is>
          <t>Medium</t>
        </is>
      </c>
      <c r="I27" s="5" t="n">
        <v>5</v>
      </c>
      <c r="J27" s="4" t="inlineStr">
        <is>
          <t>New</t>
        </is>
      </c>
      <c r="K27" s="5">
        <f>VLOOKUP(F27,'6. Ước lượng Story'!$A$5:$L$44,12,FALSE)</f>
        <v/>
      </c>
    </row>
    <row r="28">
      <c r="A28" s="4" t="inlineStr">
        <is>
          <t>RQ-07</t>
        </is>
      </c>
      <c r="B28" s="4" t="inlineStr">
        <is>
          <t>Cửa hàng online &amp; Preorder</t>
        </is>
      </c>
      <c r="C28" s="4" t="inlineStr">
        <is>
          <t>Là Khách hàng</t>
        </is>
      </c>
      <c r="D28" s="4" t="inlineStr">
        <is>
          <t>thêm giày vào giỏ hàng</t>
        </is>
      </c>
      <c r="E28" s="4" t="inlineStr">
        <is>
          <t>Giỏ lưu ở trình duyệt, sửa số lượng, chặn vượt tồn kho</t>
        </is>
      </c>
      <c r="F28" s="4" t="inlineStr">
        <is>
          <t>PB-25</t>
        </is>
      </c>
      <c r="G28" s="5" t="n">
        <v>3</v>
      </c>
      <c r="H28" s="4" t="inlineStr">
        <is>
          <t>Medium</t>
        </is>
      </c>
      <c r="I28" s="5" t="n">
        <v>5</v>
      </c>
      <c r="J28" s="4" t="inlineStr">
        <is>
          <t>New</t>
        </is>
      </c>
      <c r="K28" s="5">
        <f>VLOOKUP(F28,'6. Ước lượng Story'!$A$5:$L$44,12,FALSE)</f>
        <v/>
      </c>
    </row>
    <row r="29">
      <c r="A29" s="4" t="inlineStr">
        <is>
          <t>RQ-07</t>
        </is>
      </c>
      <c r="B29" s="4" t="inlineStr">
        <is>
          <t>Cửa hàng online &amp; Preorder</t>
        </is>
      </c>
      <c r="C29" s="4" t="inlineStr">
        <is>
          <t>Là Khách hàng</t>
        </is>
      </c>
      <c r="D29" s="4" t="inlineStr">
        <is>
          <t>đặt hàng giao tận nhà (COD)</t>
        </is>
      </c>
      <c r="E29" s="4" t="inlineStr">
        <is>
          <t>Nhập người nhận/SĐT/địa chỉ, tạo đơn Chờ giao, trừ kho</t>
        </is>
      </c>
      <c r="F29" s="4" t="inlineStr">
        <is>
          <t>PB-26</t>
        </is>
      </c>
      <c r="G29" s="5" t="n">
        <v>2</v>
      </c>
      <c r="H29" s="4" t="inlineStr">
        <is>
          <t>High</t>
        </is>
      </c>
      <c r="I29" s="5" t="n">
        <v>5</v>
      </c>
      <c r="J29" s="4" t="inlineStr">
        <is>
          <t>New</t>
        </is>
      </c>
      <c r="K29" s="5">
        <f>VLOOKUP(F29,'6. Ước lượng Story'!$A$5:$L$44,12,FALSE)</f>
        <v/>
      </c>
    </row>
    <row r="30">
      <c r="A30" s="4" t="inlineStr">
        <is>
          <t>RQ-07</t>
        </is>
      </c>
      <c r="B30" s="4" t="inlineStr">
        <is>
          <t>Cửa hàng online &amp; Preorder</t>
        </is>
      </c>
      <c r="C30" s="4" t="inlineStr">
        <is>
          <t>Là Khách hàng</t>
        </is>
      </c>
      <c r="D30" s="4" t="inlineStr">
        <is>
          <t>tra cứu đơn của tôi và xác nhận đã nhận</t>
        </is>
      </c>
      <c r="E30" s="4" t="inlineStr">
        <is>
          <t>Tra theo SĐT, xem trạng thái, bấm Đã nhận hàng</t>
        </is>
      </c>
      <c r="F30" s="4" t="inlineStr">
        <is>
          <t>PB-27</t>
        </is>
      </c>
      <c r="G30" s="5" t="n">
        <v>3</v>
      </c>
      <c r="H30" s="4" t="inlineStr">
        <is>
          <t>Medium</t>
        </is>
      </c>
      <c r="I30" s="5" t="n">
        <v>5</v>
      </c>
      <c r="J30" s="4" t="inlineStr">
        <is>
          <t>New</t>
        </is>
      </c>
      <c r="K30" s="5">
        <f>VLOOKUP(F30,'6. Ước lượng Story'!$A$5:$L$44,12,FALSE)</f>
        <v/>
      </c>
    </row>
    <row r="31">
      <c r="A31" s="4" t="inlineStr">
        <is>
          <t>RQ-07</t>
        </is>
      </c>
      <c r="B31" s="4" t="inlineStr">
        <is>
          <t>Cửa hàng online &amp; Preorder</t>
        </is>
      </c>
      <c r="C31" s="4" t="inlineStr">
        <is>
          <t>Là Khách hàng</t>
        </is>
      </c>
      <c r="D31" s="4" t="inlineStr">
        <is>
          <t>đặt trước mẫu đang hết hàng</t>
        </is>
      </c>
      <c r="E31" s="4" t="inlineStr">
        <is>
          <t>Chỉ cho đặt khi tồn = 0, để lại SĐT, xem số người đang chờ</t>
        </is>
      </c>
      <c r="F31" s="4" t="inlineStr">
        <is>
          <t>PB-28</t>
        </is>
      </c>
      <c r="G31" s="5" t="n">
        <v>3</v>
      </c>
      <c r="H31" s="4" t="inlineStr">
        <is>
          <t>Medium</t>
        </is>
      </c>
      <c r="I31" s="5" t="n">
        <v>5</v>
      </c>
      <c r="J31" s="4" t="inlineStr">
        <is>
          <t>New</t>
        </is>
      </c>
      <c r="K31" s="5">
        <f>VLOOKUP(F31,'6. Ước lượng Story'!$A$5:$L$44,12,FALSE)</f>
        <v/>
      </c>
    </row>
    <row r="32">
      <c r="A32" s="4" t="inlineStr">
        <is>
          <t>RQ-07</t>
        </is>
      </c>
      <c r="B32" s="4" t="inlineStr">
        <is>
          <t>Cửa hàng online &amp; Preorder</t>
        </is>
      </c>
      <c r="C32" s="4" t="inlineStr">
        <is>
          <t>Là Nhân viên</t>
        </is>
      </c>
      <c r="D32" s="4" t="inlineStr">
        <is>
          <t>quản lý phiếu đặt trước và chuyển thành đơn khi hàng về</t>
        </is>
      </c>
      <c r="E32" s="4" t="inlineStr">
        <is>
          <t>Tab trạng thái, báo khách có hàng, chuyển phiếu thành hóa đơn giữ hàng</t>
        </is>
      </c>
      <c r="F32" s="4" t="inlineStr">
        <is>
          <t>PB-29</t>
        </is>
      </c>
      <c r="G32" s="5" t="n">
        <v>3</v>
      </c>
      <c r="H32" s="4" t="inlineStr">
        <is>
          <t>Medium</t>
        </is>
      </c>
      <c r="I32" s="5" t="n">
        <v>5</v>
      </c>
      <c r="J32" s="4" t="inlineStr">
        <is>
          <t>New</t>
        </is>
      </c>
      <c r="K32" s="5">
        <f>VLOOKUP(F32,'6. Ước lượng Story'!$A$5:$L$44,12,FALSE)</f>
        <v/>
      </c>
    </row>
    <row r="33">
      <c r="A33" s="4" t="inlineStr">
        <is>
          <t>RQ-07</t>
        </is>
      </c>
      <c r="B33" s="4" t="inlineStr">
        <is>
          <t>Cửa hàng online &amp; Preorder</t>
        </is>
      </c>
      <c r="C33" s="4" t="inlineStr">
        <is>
          <t>Là Khách hàng</t>
        </is>
      </c>
      <c r="D33" s="4" t="inlineStr">
        <is>
          <t>xem trang chi tiết sản phẩm</t>
        </is>
      </c>
      <c r="E33" s="4" t="inlineStr">
        <is>
          <t>Chọn màu/size; còn hàng thì mua, hết hàng thì đặt trước</t>
        </is>
      </c>
      <c r="F33" s="4" t="inlineStr">
        <is>
          <t>PB-30</t>
        </is>
      </c>
      <c r="G33" s="5" t="n">
        <v>2</v>
      </c>
      <c r="H33" s="4" t="inlineStr">
        <is>
          <t>High</t>
        </is>
      </c>
      <c r="I33" s="5" t="n">
        <v>5</v>
      </c>
      <c r="J33" s="4" t="inlineStr">
        <is>
          <t>New</t>
        </is>
      </c>
      <c r="K33" s="5">
        <f>VLOOKUP(F33,'6. Ước lượng Story'!$A$5:$L$44,12,FALSE)</f>
        <v/>
      </c>
    </row>
    <row r="34">
      <c r="A34" s="4" t="inlineStr">
        <is>
          <t>RQ-08</t>
        </is>
      </c>
      <c r="B34" s="4" t="inlineStr">
        <is>
          <t>Dashboard &amp; Báo cáo doanh thu</t>
        </is>
      </c>
      <c r="C34" s="4" t="inlineStr">
        <is>
          <t>Là Kế toán</t>
        </is>
      </c>
      <c r="D34" s="4" t="inlineStr">
        <is>
          <t>xem KPI tổng quan</t>
        </is>
      </c>
      <c r="E34" s="4" t="inlineStr">
        <is>
          <t>Doanh thu, lợi nhuận, số đơn theo trạng thái, đơn TB</t>
        </is>
      </c>
      <c r="F34" s="4" t="inlineStr">
        <is>
          <t>PB-31</t>
        </is>
      </c>
      <c r="G34" s="5" t="n">
        <v>1</v>
      </c>
      <c r="H34" s="4" t="inlineStr">
        <is>
          <t>High</t>
        </is>
      </c>
      <c r="I34" s="5" t="n">
        <v>6</v>
      </c>
      <c r="J34" s="4" t="inlineStr">
        <is>
          <t>New</t>
        </is>
      </c>
      <c r="K34" s="5">
        <f>VLOOKUP(F34,'6. Ước lượng Story'!$A$5:$L$44,12,FALSE)</f>
        <v/>
      </c>
    </row>
    <row r="35">
      <c r="A35" s="4" t="inlineStr">
        <is>
          <t>RQ-08</t>
        </is>
      </c>
      <c r="B35" s="4" t="inlineStr">
        <is>
          <t>Dashboard &amp; Báo cáo doanh thu</t>
        </is>
      </c>
      <c r="C35" s="4" t="inlineStr">
        <is>
          <t>Là Kế toán</t>
        </is>
      </c>
      <c r="D35" s="4" t="inlineStr">
        <is>
          <t>xem biểu đồ dòng tiền theo tháng</t>
        </is>
      </c>
      <c r="E35" s="4" t="inlineStr">
        <is>
          <t>Doanh thu / giá vốn / lợi nhuận 12 tháng, lọc theo năm</t>
        </is>
      </c>
      <c r="F35" s="4" t="inlineStr">
        <is>
          <t>PB-32</t>
        </is>
      </c>
      <c r="G35" s="5" t="n">
        <v>2</v>
      </c>
      <c r="H35" s="4" t="inlineStr">
        <is>
          <t>High</t>
        </is>
      </c>
      <c r="I35" s="5" t="n">
        <v>6</v>
      </c>
      <c r="J35" s="4" t="inlineStr">
        <is>
          <t>New</t>
        </is>
      </c>
      <c r="K35" s="5">
        <f>VLOOKUP(F35,'6. Ước lượng Story'!$A$5:$L$44,12,FALSE)</f>
        <v/>
      </c>
    </row>
    <row r="36">
      <c r="A36" s="4" t="inlineStr">
        <is>
          <t>RQ-08</t>
        </is>
      </c>
      <c r="B36" s="4" t="inlineStr">
        <is>
          <t>Dashboard &amp; Báo cáo doanh thu</t>
        </is>
      </c>
      <c r="C36" s="4" t="inlineStr">
        <is>
          <t>Là Kế toán</t>
        </is>
      </c>
      <c r="D36" s="4" t="inlineStr">
        <is>
          <t>xem ROI theo sản phẩm</t>
        </is>
      </c>
      <c r="E36" s="4" t="inlineStr">
        <is>
          <t>(Doanh thu - giá vốn)/giá vốn, xếp hạng</t>
        </is>
      </c>
      <c r="F36" s="4" t="inlineStr">
        <is>
          <t>PB-33</t>
        </is>
      </c>
      <c r="G36" s="5" t="n">
        <v>2</v>
      </c>
      <c r="H36" s="4" t="inlineStr">
        <is>
          <t>Medium</t>
        </is>
      </c>
      <c r="I36" s="5" t="n">
        <v>6</v>
      </c>
      <c r="J36" s="4" t="inlineStr">
        <is>
          <t>New</t>
        </is>
      </c>
      <c r="K36" s="5">
        <f>VLOOKUP(F36,'6. Ước lượng Story'!$A$5:$L$44,12,FALSE)</f>
        <v/>
      </c>
    </row>
    <row r="37">
      <c r="A37" s="4" t="inlineStr">
        <is>
          <t>RQ-08</t>
        </is>
      </c>
      <c r="B37" s="4" t="inlineStr">
        <is>
          <t>Dashboard &amp; Báo cáo doanh thu</t>
        </is>
      </c>
      <c r="C37" s="4" t="inlineStr">
        <is>
          <t>Là Kế toán</t>
        </is>
      </c>
      <c r="D37" s="4" t="inlineStr">
        <is>
          <t>xem tỷ lệ giữ chân khách hàng</t>
        </is>
      </c>
      <c r="E37" s="4" t="inlineStr">
        <is>
          <t>Khách quay lại vs khách mới</t>
        </is>
      </c>
      <c r="F37" s="4" t="inlineStr">
        <is>
          <t>PB-34</t>
        </is>
      </c>
      <c r="G37" s="5" t="n">
        <v>2</v>
      </c>
      <c r="H37" s="4" t="inlineStr">
        <is>
          <t>Medium</t>
        </is>
      </c>
      <c r="I37" s="5" t="n">
        <v>6</v>
      </c>
      <c r="J37" s="4" t="inlineStr">
        <is>
          <t>New</t>
        </is>
      </c>
      <c r="K37" s="5">
        <f>VLOOKUP(F37,'6. Ước lượng Story'!$A$5:$L$44,12,FALSE)</f>
        <v/>
      </c>
    </row>
    <row r="38">
      <c r="A38" s="4" t="inlineStr">
        <is>
          <t>RQ-08</t>
        </is>
      </c>
      <c r="B38" s="4" t="inlineStr">
        <is>
          <t>Dashboard &amp; Báo cáo doanh thu</t>
        </is>
      </c>
      <c r="C38" s="4" t="inlineStr">
        <is>
          <t>Là Kế toán</t>
        </is>
      </c>
      <c r="D38" s="4" t="inlineStr">
        <is>
          <t>xem SP bán chạy / bán chậm / xu hướng</t>
        </is>
      </c>
      <c r="E38" s="4" t="inlineStr">
        <is>
          <t>Xếp hạng theo số bán, tăng trưởng so kỳ trước</t>
        </is>
      </c>
      <c r="F38" s="4" t="inlineStr">
        <is>
          <t>PB-35</t>
        </is>
      </c>
      <c r="G38" s="5" t="n">
        <v>2</v>
      </c>
      <c r="H38" s="4" t="inlineStr">
        <is>
          <t>Medium</t>
        </is>
      </c>
      <c r="I38" s="5" t="n">
        <v>6</v>
      </c>
      <c r="J38" s="4" t="inlineStr">
        <is>
          <t>New</t>
        </is>
      </c>
      <c r="K38" s="5">
        <f>VLOOKUP(F38,'6. Ước lượng Story'!$A$5:$L$44,12,FALSE)</f>
        <v/>
      </c>
    </row>
    <row r="39">
      <c r="A39" s="4" t="inlineStr">
        <is>
          <t>RQ-08</t>
        </is>
      </c>
      <c r="B39" s="4" t="inlineStr">
        <is>
          <t>Dashboard &amp; Báo cáo doanh thu</t>
        </is>
      </c>
      <c r="C39" s="4" t="inlineStr">
        <is>
          <t>Là Kế toán</t>
        </is>
      </c>
      <c r="D39" s="4" t="inlineStr">
        <is>
          <t>xuất báo cáo ra Excel</t>
        </is>
      </c>
      <c r="E39" s="4" t="inlineStr">
        <is>
          <t>Kết xuất KPI + sản phẩm bán chạy ra file</t>
        </is>
      </c>
      <c r="F39" s="4" t="inlineStr">
        <is>
          <t>PB-36</t>
        </is>
      </c>
      <c r="G39" s="5" t="n">
        <v>3</v>
      </c>
      <c r="H39" s="4" t="inlineStr">
        <is>
          <t>Low</t>
        </is>
      </c>
      <c r="I39" s="5" t="n">
        <v>6</v>
      </c>
      <c r="J39" s="4" t="inlineStr">
        <is>
          <t>New</t>
        </is>
      </c>
      <c r="K39" s="5">
        <f>VLOOKUP(F39,'6. Ước lượng Story'!$A$5:$L$44,12,FALSE)</f>
        <v/>
      </c>
    </row>
    <row r="40">
      <c r="A40" s="4" t="inlineStr">
        <is>
          <t>RQ-09</t>
        </is>
      </c>
      <c r="B40" s="4" t="inlineStr">
        <is>
          <t>Sau bán hàng: Bảo hành &amp; Khuyến mãi</t>
        </is>
      </c>
      <c r="C40" s="4" t="inlineStr">
        <is>
          <t>Là NV bảo hành</t>
        </is>
      </c>
      <c r="D40" s="4" t="inlineStr">
        <is>
          <t>tiếp nhận đơn bảo hành</t>
        </is>
      </c>
      <c r="E40" s="4" t="inlineStr">
        <is>
          <t>Tạo phiếu BH gắn khách + sản phẩm + hóa đơn + serial</t>
        </is>
      </c>
      <c r="F40" s="4" t="inlineStr">
        <is>
          <t>PB-37</t>
        </is>
      </c>
      <c r="G40" s="5" t="n">
        <v>1</v>
      </c>
      <c r="H40" s="4" t="inlineStr">
        <is>
          <t>High</t>
        </is>
      </c>
      <c r="I40" s="5" t="n">
        <v>6</v>
      </c>
      <c r="J40" s="4" t="inlineStr">
        <is>
          <t>New</t>
        </is>
      </c>
      <c r="K40" s="5">
        <f>VLOOKUP(F40,'6. Ước lượng Story'!$A$5:$L$44,12,FALSE)</f>
        <v/>
      </c>
    </row>
    <row r="41">
      <c r="A41" s="4" t="inlineStr">
        <is>
          <t>RQ-09</t>
        </is>
      </c>
      <c r="B41" s="4" t="inlineStr">
        <is>
          <t>Sau bán hàng: Bảo hành &amp; Khuyến mãi</t>
        </is>
      </c>
      <c r="C41" s="4" t="inlineStr">
        <is>
          <t>Là NV bảo hành</t>
        </is>
      </c>
      <c r="D41" s="4" t="inlineStr">
        <is>
          <t>cập nhật trạng thái xử lý bảo hành</t>
        </is>
      </c>
      <c r="E41" s="4" t="inlineStr">
        <is>
          <t>6 trạng thái: chưa xử lý -&gt; đã trả, lọc theo tab</t>
        </is>
      </c>
      <c r="F41" s="4" t="inlineStr">
        <is>
          <t>PB-38</t>
        </is>
      </c>
      <c r="G41" s="5" t="n">
        <v>1</v>
      </c>
      <c r="H41" s="4" t="inlineStr">
        <is>
          <t>High</t>
        </is>
      </c>
      <c r="I41" s="5" t="n">
        <v>6</v>
      </c>
      <c r="J41" s="4" t="inlineStr">
        <is>
          <t>New</t>
        </is>
      </c>
      <c r="K41" s="5">
        <f>VLOOKUP(F41,'6. Ước lượng Story'!$A$5:$L$44,12,FALSE)</f>
        <v/>
      </c>
    </row>
    <row r="42">
      <c r="A42" s="4" t="inlineStr">
        <is>
          <t>RQ-09</t>
        </is>
      </c>
      <c r="B42" s="4" t="inlineStr">
        <is>
          <t>Sau bán hàng: Bảo hành &amp; Khuyến mãi</t>
        </is>
      </c>
      <c r="C42" s="4" t="inlineStr">
        <is>
          <t>Là NV bảo hành</t>
        </is>
      </c>
      <c r="D42" s="4" t="inlineStr">
        <is>
          <t>in phiếu bảo hành</t>
        </is>
      </c>
      <c r="E42" s="4" t="inlineStr">
        <is>
          <t>Kết xuất phiếu bảo hành</t>
        </is>
      </c>
      <c r="F42" s="4" t="inlineStr">
        <is>
          <t>PB-39</t>
        </is>
      </c>
      <c r="G42" s="5" t="n">
        <v>3</v>
      </c>
      <c r="H42" s="4" t="inlineStr">
        <is>
          <t>Low</t>
        </is>
      </c>
      <c r="I42" s="5" t="n">
        <v>6</v>
      </c>
      <c r="J42" s="4" t="inlineStr">
        <is>
          <t>New</t>
        </is>
      </c>
      <c r="K42" s="5">
        <f>VLOOKUP(F42,'6. Ước lượng Story'!$A$5:$L$44,12,FALSE)</f>
        <v/>
      </c>
    </row>
    <row r="43">
      <c r="A43" s="4" t="inlineStr">
        <is>
          <t>RQ-09</t>
        </is>
      </c>
      <c r="B43" s="4" t="inlineStr">
        <is>
          <t>Sau bán hàng: Bảo hành &amp; Khuyến mãi</t>
        </is>
      </c>
      <c r="C43" s="4" t="inlineStr">
        <is>
          <t>Là Quản lý</t>
        </is>
      </c>
      <c r="D43" s="4" t="inlineStr">
        <is>
          <t>quản lý phiếu giảm giá</t>
        </is>
      </c>
      <c r="E43" s="4" t="inlineStr">
        <is>
          <t>CRUD phiếu, thời hạn, điều kiện, trạng thái</t>
        </is>
      </c>
      <c r="F43" s="4" t="inlineStr">
        <is>
          <t>PB-40</t>
        </is>
      </c>
      <c r="G43" s="5" t="n">
        <v>2</v>
      </c>
      <c r="H43" s="4" t="inlineStr">
        <is>
          <t>Medium</t>
        </is>
      </c>
      <c r="I43" s="5" t="n">
        <v>6</v>
      </c>
      <c r="J43" s="4" t="inlineStr">
        <is>
          <t>New</t>
        </is>
      </c>
      <c r="K43" s="5">
        <f>VLOOKUP(F43,'6. Ước lượng Story'!$A$5:$L$44,12,FALSE)</f>
        <v/>
      </c>
    </row>
    <row r="44">
      <c r="F44" s="2" t="inlineStr">
        <is>
          <t>TỔNG</t>
        </is>
      </c>
      <c r="K44" s="2">
        <f>SUM(K4:K43)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4" customWidth="1" min="3" max="3"/>
    <col width="17" customWidth="1" min="4" max="4"/>
    <col width="14" customWidth="1" min="5" max="5"/>
  </cols>
  <sheetData>
    <row r="1">
      <c r="A1" s="2" t="inlineStr">
        <is>
          <t>Sprint Duration: 2 tuần</t>
        </is>
      </c>
    </row>
    <row r="3">
      <c r="A3" s="3" t="inlineStr">
        <is>
          <t>Sprint</t>
        </is>
      </c>
      <c r="B3" s="3" t="inlineStr">
        <is>
          <t>Mục tiêu Sprint (Sprint Goal)</t>
        </is>
      </c>
      <c r="C3" s="3" t="inlineStr">
        <is>
          <t>Số User Story</t>
        </is>
      </c>
      <c r="D3" s="3" t="inlineStr">
        <is>
          <t>Tổng Story Points</t>
        </is>
      </c>
      <c r="E3" s="3" t="inlineStr">
        <is>
          <t>Tổng giờ task</t>
        </is>
      </c>
    </row>
    <row r="4">
      <c r="A4" s="4" t="inlineStr">
        <is>
          <t>Sprint 1</t>
        </is>
      </c>
      <c r="B4" s="4" t="inlineStr">
        <is>
          <t>Nền tảng: đăng nhập, nhân viên và phân quyền</t>
        </is>
      </c>
      <c r="C4" s="4">
        <f>COUNTIF('2. Release Backlog'!$I$4:$I$43,1)</f>
        <v/>
      </c>
      <c r="D4" s="4">
        <f>SUMIF('2. Release Backlog'!$I$4:$I$43,1,'2. Release Backlog'!$K$4:$K$43)</f>
        <v/>
      </c>
      <c r="E4" s="4">
        <f>SUMIF('4. Sprint Backlog'!$F$2:$F$600,1,'4. Sprint Backlog'!$G$2:$G$600)</f>
        <v/>
      </c>
    </row>
    <row r="5">
      <c r="A5" s="4" t="inlineStr">
        <is>
          <t>Sprint 2</t>
        </is>
      </c>
      <c r="B5" s="4" t="inlineStr">
        <is>
          <t>Quản lý sản phẩm: sản phẩm, biến thể, nhập kho, danh mục, thuộc tính</t>
        </is>
      </c>
      <c r="C5" s="4">
        <f>COUNTIF('2. Release Backlog'!$I$4:$I$43,2)</f>
        <v/>
      </c>
      <c r="D5" s="4">
        <f>SUMIF('2. Release Backlog'!$I$4:$I$43,2,'2. Release Backlog'!$K$4:$K$43)</f>
        <v/>
      </c>
      <c r="E5" s="4">
        <f>SUMIF('4. Sprint Backlog'!$F$2:$F$600,2,'4. Sprint Backlog'!$G$2:$G$600)</f>
        <v/>
      </c>
    </row>
    <row r="6">
      <c r="A6" s="4" t="inlineStr">
        <is>
          <t>Sprint 3</t>
        </is>
      </c>
      <c r="B6" s="4" t="inlineStr">
        <is>
          <t>Bán hàng tại quầy: giỏ hàng trừ kho, thanh toán, in hóa đơn, quét QR</t>
        </is>
      </c>
      <c r="C6" s="4">
        <f>COUNTIF('2. Release Backlog'!$I$4:$I$43,3)</f>
        <v/>
      </c>
      <c r="D6" s="4">
        <f>SUMIF('2. Release Backlog'!$I$4:$I$43,3,'2. Release Backlog'!$K$4:$K$43)</f>
        <v/>
      </c>
      <c r="E6" s="4">
        <f>SUMIF('4. Sprint Backlog'!$F$2:$F$600,3,'4. Sprint Backlog'!$G$2:$G$600)</f>
        <v/>
      </c>
    </row>
    <row r="7">
      <c r="A7" s="4" t="inlineStr">
        <is>
          <t>Sprint 4</t>
        </is>
      </c>
      <c r="B7" s="4" t="inlineStr">
        <is>
          <t>Đơn đặt hàng, giao hàng, trả hàng và quản lý khách hàng</t>
        </is>
      </c>
      <c r="C7" s="4">
        <f>COUNTIF('2. Release Backlog'!$I$4:$I$43,4)</f>
        <v/>
      </c>
      <c r="D7" s="4">
        <f>SUMIF('2. Release Backlog'!$I$4:$I$43,4,'2. Release Backlog'!$K$4:$K$43)</f>
        <v/>
      </c>
      <c r="E7" s="4">
        <f>SUMIF('4. Sprint Backlog'!$F$2:$F$600,4,'4. Sprint Backlog'!$G$2:$G$600)</f>
        <v/>
      </c>
    </row>
    <row r="8">
      <c r="A8" s="4" t="inlineStr">
        <is>
          <t>Sprint 5</t>
        </is>
      </c>
      <c r="B8" s="4" t="inlineStr">
        <is>
          <t>Cửa hàng online: trang chủ, chi tiết, giỏ hàng, đặt hàng COD, đặt trước</t>
        </is>
      </c>
      <c r="C8" s="4">
        <f>COUNTIF('2. Release Backlog'!$I$4:$I$43,5)</f>
        <v/>
      </c>
      <c r="D8" s="4">
        <f>SUMIF('2. Release Backlog'!$I$4:$I$43,5,'2. Release Backlog'!$K$4:$K$43)</f>
        <v/>
      </c>
      <c r="E8" s="4">
        <f>SUMIF('4. Sprint Backlog'!$F$2:$F$600,5,'4. Sprint Backlog'!$G$2:$G$600)</f>
        <v/>
      </c>
    </row>
    <row r="9">
      <c r="A9" s="4" t="inlineStr">
        <is>
          <t>Sprint 6</t>
        </is>
      </c>
      <c r="B9" s="4" t="inlineStr">
        <is>
          <t>Dashboard doanh thu, bảo hành và khuyến mãi</t>
        </is>
      </c>
      <c r="C9" s="4">
        <f>COUNTIF('2. Release Backlog'!$I$4:$I$43,6)</f>
        <v/>
      </c>
      <c r="D9" s="4">
        <f>SUMIF('2. Release Backlog'!$I$4:$I$43,6,'2. Release Backlog'!$K$4:$K$43)</f>
        <v/>
      </c>
      <c r="E9" s="4">
        <f>SUMIF('4. Sprint Backlog'!$F$2:$F$600,6,'4. Sprint Backlog'!$G$2:$G$600)</f>
        <v/>
      </c>
    </row>
    <row r="10">
      <c r="B10" s="2" t="inlineStr">
        <is>
          <t>TỔNG</t>
        </is>
      </c>
      <c r="C10" s="2">
        <f>SUM(C4:C9)</f>
        <v/>
      </c>
      <c r="D10" s="2">
        <f>SUM(D4:D9)</f>
        <v/>
      </c>
      <c r="E10" s="2">
        <f>SUM(E4:E9)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44" customWidth="1" min="3" max="3"/>
    <col width="10" customWidth="1" min="4" max="4"/>
    <col width="11" customWidth="1" min="5" max="5"/>
    <col width="8" customWidth="1" min="6" max="6"/>
    <col width="13" customWidth="1" min="7" max="7"/>
    <col width="11" customWidth="1" min="8" max="8"/>
    <col width="11" customWidth="1" min="9" max="9"/>
  </cols>
  <sheetData>
    <row r="1">
      <c r="A1" s="3" t="inlineStr">
        <is>
          <t>Task ID</t>
        </is>
      </c>
      <c r="B1" s="3" t="inlineStr">
        <is>
          <t>Task</t>
        </is>
      </c>
      <c r="C1" s="3" t="inlineStr">
        <is>
          <t>Mô tả công việc</t>
        </is>
      </c>
      <c r="D1" s="3" t="inlineStr">
        <is>
          <t>Story ID</t>
        </is>
      </c>
      <c r="E1" s="3" t="inlineStr">
        <is>
          <t>Backlog ID</t>
        </is>
      </c>
      <c r="F1" s="3" t="inlineStr">
        <is>
          <t>Sprint#</t>
        </is>
      </c>
      <c r="G1" s="3" t="inlineStr">
        <is>
          <t>Estimate (giờ)</t>
        </is>
      </c>
      <c r="H1" s="3" t="inlineStr">
        <is>
          <t>Phụ trách</t>
        </is>
      </c>
      <c r="I1" s="3" t="inlineStr">
        <is>
          <t>Trạng thái</t>
        </is>
      </c>
    </row>
    <row r="2">
      <c r="A2" s="6" t="inlineStr">
        <is>
          <t>Sprint 1: Nền tảng: đăng nhập, nhân viên và phân quyền</t>
        </is>
      </c>
      <c r="B2" s="7" t="n"/>
      <c r="C2" s="7" t="n"/>
      <c r="D2" s="7" t="n"/>
      <c r="E2" s="7" t="n"/>
      <c r="F2" s="7" t="n"/>
      <c r="G2" s="7" t="n"/>
      <c r="H2" s="7" t="n"/>
      <c r="I2" s="8" t="n"/>
    </row>
    <row r="3">
      <c r="A3" s="4" t="inlineStr">
        <is>
          <t>T-01</t>
        </is>
      </c>
      <c r="B3" s="4" t="inlineStr">
        <is>
          <t>Thiết kế bảng nhan_vien / vai_tro</t>
        </is>
      </c>
      <c r="C3" s="4" t="inlineStr">
        <is>
          <t>Chuẩn hóa CSDL, thêm cột quyen</t>
        </is>
      </c>
      <c r="D3" s="5" t="inlineStr">
        <is>
          <t>PB-01</t>
        </is>
      </c>
      <c r="E3" s="5" t="inlineStr">
        <is>
          <t>RQ-01</t>
        </is>
      </c>
      <c r="F3" s="5" t="n">
        <v>1</v>
      </c>
      <c r="G3" s="5" t="n">
        <v>4</v>
      </c>
      <c r="H3" s="4" t="inlineStr">
        <is>
          <t>DEV1</t>
        </is>
      </c>
      <c r="I3" s="4" t="inlineStr">
        <is>
          <t>To Do</t>
        </is>
      </c>
    </row>
    <row r="4">
      <c r="A4" s="4" t="inlineStr">
        <is>
          <t>T-02</t>
        </is>
      </c>
      <c r="B4" s="4" t="inlineStr">
        <is>
          <t>API POST /api/auth/login</t>
        </is>
      </c>
      <c r="C4" s="4" t="inlineStr">
        <is>
          <t>Xác thực tài khoản, trả vai trò + quyền</t>
        </is>
      </c>
      <c r="D4" s="5" t="inlineStr">
        <is>
          <t>PB-01</t>
        </is>
      </c>
      <c r="E4" s="5" t="inlineStr">
        <is>
          <t>RQ-01</t>
        </is>
      </c>
      <c r="F4" s="5" t="n">
        <v>1</v>
      </c>
      <c r="G4" s="5" t="n">
        <v>4</v>
      </c>
      <c r="H4" s="4" t="inlineStr">
        <is>
          <t>DEV1</t>
        </is>
      </c>
      <c r="I4" s="4" t="inlineStr">
        <is>
          <t>To Do</t>
        </is>
      </c>
    </row>
    <row r="5">
      <c r="A5" s="4" t="inlineStr">
        <is>
          <t>T-03</t>
        </is>
      </c>
      <c r="B5" s="4" t="inlineStr">
        <is>
          <t>Màn hình đăng nhập</t>
        </is>
      </c>
      <c r="C5" s="4" t="inlineStr">
        <is>
          <t>Form + báo lỗi sai tài khoản</t>
        </is>
      </c>
      <c r="D5" s="5" t="inlineStr">
        <is>
          <t>PB-01</t>
        </is>
      </c>
      <c r="E5" s="5" t="inlineStr">
        <is>
          <t>RQ-01</t>
        </is>
      </c>
      <c r="F5" s="5" t="n">
        <v>1</v>
      </c>
      <c r="G5" s="5" t="n">
        <v>3</v>
      </c>
      <c r="H5" s="4" t="inlineStr">
        <is>
          <t>DEV2</t>
        </is>
      </c>
      <c r="I5" s="4" t="inlineStr">
        <is>
          <t>To Do</t>
        </is>
      </c>
    </row>
    <row r="6">
      <c r="A6" s="4" t="inlineStr">
        <is>
          <t>T-04</t>
        </is>
      </c>
      <c r="B6" s="4" t="inlineStr">
        <is>
          <t>Lưu phiên đăng nhập</t>
        </is>
      </c>
      <c r="C6" s="4" t="inlineStr">
        <is>
          <t>Store useAuth + localStorage, chặn route</t>
        </is>
      </c>
      <c r="D6" s="5" t="inlineStr">
        <is>
          <t>PB-01</t>
        </is>
      </c>
      <c r="E6" s="5" t="inlineStr">
        <is>
          <t>RQ-01</t>
        </is>
      </c>
      <c r="F6" s="5" t="n">
        <v>1</v>
      </c>
      <c r="G6" s="5" t="n">
        <v>4</v>
      </c>
      <c r="H6" s="4" t="inlineStr">
        <is>
          <t>DEV2</t>
        </is>
      </c>
      <c r="I6" s="4" t="inlineStr">
        <is>
          <t>To Do</t>
        </is>
      </c>
    </row>
    <row r="7">
      <c r="A7" s="4" t="inlineStr">
        <is>
          <t>T-05</t>
        </is>
      </c>
      <c r="B7" s="4" t="inlineStr">
        <is>
          <t>Test đăng nhập</t>
        </is>
      </c>
      <c r="C7" s="4" t="inlineStr">
        <is>
          <t>Sai/đúng mật khẩu, hết phiên</t>
        </is>
      </c>
      <c r="D7" s="5" t="inlineStr">
        <is>
          <t>PB-01</t>
        </is>
      </c>
      <c r="E7" s="5" t="inlineStr">
        <is>
          <t>RQ-01</t>
        </is>
      </c>
      <c r="F7" s="5" t="n">
        <v>1</v>
      </c>
      <c r="G7" s="5" t="n">
        <v>2</v>
      </c>
      <c r="H7" s="4" t="inlineStr">
        <is>
          <t>QC</t>
        </is>
      </c>
      <c r="I7" s="4" t="inlineStr">
        <is>
          <t>To Do</t>
        </is>
      </c>
    </row>
    <row r="8">
      <c r="A8" s="4" t="inlineStr">
        <is>
          <t>T-06</t>
        </is>
      </c>
      <c r="B8" s="4" t="inlineStr">
        <is>
          <t>API nhân viên CRUD</t>
        </is>
      </c>
      <c r="C8" s="4" t="inlineStr">
        <is>
          <t>Thêm/sửa/xóa/tìm nhân viên</t>
        </is>
      </c>
      <c r="D8" s="5" t="inlineStr">
        <is>
          <t>PB-02</t>
        </is>
      </c>
      <c r="E8" s="5" t="inlineStr">
        <is>
          <t>RQ-02</t>
        </is>
      </c>
      <c r="F8" s="5" t="n">
        <v>1</v>
      </c>
      <c r="G8" s="5" t="n">
        <v>4</v>
      </c>
      <c r="H8" s="4" t="inlineStr">
        <is>
          <t>DEV1</t>
        </is>
      </c>
      <c r="I8" s="4" t="inlineStr">
        <is>
          <t>To Do</t>
        </is>
      </c>
    </row>
    <row r="9">
      <c r="A9" s="4" t="inlineStr">
        <is>
          <t>T-07</t>
        </is>
      </c>
      <c r="B9" s="4" t="inlineStr">
        <is>
          <t>Màn nhân viên</t>
        </is>
      </c>
      <c r="C9" s="4" t="inlineStr">
        <is>
          <t>Bảng + modal</t>
        </is>
      </c>
      <c r="D9" s="5" t="inlineStr">
        <is>
          <t>PB-02</t>
        </is>
      </c>
      <c r="E9" s="5" t="inlineStr">
        <is>
          <t>RQ-02</t>
        </is>
      </c>
      <c r="F9" s="5" t="n">
        <v>1</v>
      </c>
      <c r="G9" s="5" t="n">
        <v>4</v>
      </c>
      <c r="H9" s="4" t="inlineStr">
        <is>
          <t>DEV2</t>
        </is>
      </c>
      <c r="I9" s="4" t="inlineStr">
        <is>
          <t>To Do</t>
        </is>
      </c>
    </row>
    <row r="10">
      <c r="A10" s="4" t="inlineStr">
        <is>
          <t>T-08</t>
        </is>
      </c>
      <c r="B10" s="4" t="inlineStr">
        <is>
          <t>Cột vai_tro.quyen + API phân quyền</t>
        </is>
      </c>
      <c r="C10" s="4" t="inlineStr">
        <is>
          <t>GET/PUT quyền theo vai trò</t>
        </is>
      </c>
      <c r="D10" s="5" t="inlineStr">
        <is>
          <t>PB-03</t>
        </is>
      </c>
      <c r="E10" s="5" t="inlineStr">
        <is>
          <t>RQ-02</t>
        </is>
      </c>
      <c r="F10" s="5" t="n">
        <v>1</v>
      </c>
      <c r="G10" s="5" t="n">
        <v>4</v>
      </c>
      <c r="H10" s="4" t="inlineStr">
        <is>
          <t>DEV1</t>
        </is>
      </c>
      <c r="I10" s="4" t="inlineStr">
        <is>
          <t>To Do</t>
        </is>
      </c>
    </row>
    <row r="11">
      <c r="A11" s="4" t="inlineStr">
        <is>
          <t>T-09</t>
        </is>
      </c>
      <c r="B11" s="4" t="inlineStr">
        <is>
          <t>Màn phân quyền</t>
        </is>
      </c>
      <c r="C11" s="4" t="inlineStr">
        <is>
          <t>Vai trò x màn hình, tick chọn, lưu</t>
        </is>
      </c>
      <c r="D11" s="5" t="inlineStr">
        <is>
          <t>PB-03</t>
        </is>
      </c>
      <c r="E11" s="5" t="inlineStr">
        <is>
          <t>RQ-02</t>
        </is>
      </c>
      <c r="F11" s="5" t="n">
        <v>1</v>
      </c>
      <c r="G11" s="5" t="n">
        <v>5</v>
      </c>
      <c r="H11" s="4" t="inlineStr">
        <is>
          <t>DEV2</t>
        </is>
      </c>
      <c r="I11" s="4" t="inlineStr">
        <is>
          <t>To Do</t>
        </is>
      </c>
    </row>
    <row r="12">
      <c r="A12" s="4" t="inlineStr">
        <is>
          <t>T-10</t>
        </is>
      </c>
      <c r="B12" s="4" t="inlineStr">
        <is>
          <t>Ẩn menu &amp; chặn route theo quyền</t>
        </is>
      </c>
      <c r="C12" s="4" t="inlineStr">
        <is>
          <t>Sidebar + router guard</t>
        </is>
      </c>
      <c r="D12" s="5" t="inlineStr">
        <is>
          <t>PB-03</t>
        </is>
      </c>
      <c r="E12" s="5" t="inlineStr">
        <is>
          <t>RQ-02</t>
        </is>
      </c>
      <c r="F12" s="5" t="n">
        <v>1</v>
      </c>
      <c r="G12" s="5" t="n">
        <v>4</v>
      </c>
      <c r="H12" s="4" t="inlineStr">
        <is>
          <t>DEV3</t>
        </is>
      </c>
      <c r="I12" s="4" t="inlineStr">
        <is>
          <t>To Do</t>
        </is>
      </c>
    </row>
    <row r="13">
      <c r="A13" s="4" t="inlineStr">
        <is>
          <t>T-11</t>
        </is>
      </c>
      <c r="B13" s="4" t="inlineStr">
        <is>
          <t>Test phân quyền</t>
        </is>
      </c>
      <c r="C13" s="4" t="inlineStr">
        <is>
          <t>Đăng nhập từng vai trò, kiểm menu</t>
        </is>
      </c>
      <c r="D13" s="5" t="inlineStr">
        <is>
          <t>PB-03</t>
        </is>
      </c>
      <c r="E13" s="5" t="inlineStr">
        <is>
          <t>RQ-02</t>
        </is>
      </c>
      <c r="F13" s="5" t="n">
        <v>1</v>
      </c>
      <c r="G13" s="5" t="n">
        <v>3</v>
      </c>
      <c r="H13" s="4" t="inlineStr">
        <is>
          <t>QC</t>
        </is>
      </c>
      <c r="I13" s="4" t="inlineStr">
        <is>
          <t>To Do</t>
        </is>
      </c>
    </row>
    <row r="14">
      <c r="A14" s="4" t="inlineStr">
        <is>
          <t>T-12</t>
        </is>
      </c>
      <c r="B14" s="4" t="inlineStr">
        <is>
          <t>Đổi vai trò thành template</t>
        </is>
      </c>
      <c r="C14" s="4" t="inlineStr">
        <is>
          <t>vai_tro.quyen hạ xuống thành bộ quyền mặc định, không còn là quyền hiệu lực</t>
        </is>
      </c>
      <c r="D14" s="5" t="inlineStr">
        <is>
          <t>PB-03</t>
        </is>
      </c>
      <c r="E14" s="5" t="inlineStr">
        <is>
          <t>RQ-02</t>
        </is>
      </c>
      <c r="F14" s="5" t="n">
        <v>1</v>
      </c>
      <c r="G14" s="5" t="n">
        <v>2</v>
      </c>
      <c r="H14" s="4" t="inlineStr">
        <is>
          <t>DEV1</t>
        </is>
      </c>
      <c r="I14" s="4" t="inlineStr">
        <is>
          <t>To Do</t>
        </is>
      </c>
    </row>
    <row r="15">
      <c r="A15" s="4" t="inlineStr">
        <is>
          <t>T-13</t>
        </is>
      </c>
      <c r="B15" s="4" t="inlineStr">
        <is>
          <t>Tab Vai trò trong màn Nhân viên</t>
        </is>
      </c>
      <c r="C15" s="4" t="inlineStr">
        <is>
          <t>Sửa bộ quyền mặc định, ghi rõ không ảnh hưởng NV đang có</t>
        </is>
      </c>
      <c r="D15" s="5" t="inlineStr">
        <is>
          <t>PB-03</t>
        </is>
      </c>
      <c r="E15" s="5" t="inlineStr">
        <is>
          <t>RQ-02</t>
        </is>
      </c>
      <c r="F15" s="5" t="n">
        <v>1</v>
      </c>
      <c r="G15" s="5" t="n">
        <v>3</v>
      </c>
      <c r="H15" s="4" t="inlineStr">
        <is>
          <t>DEV2</t>
        </is>
      </c>
      <c r="I15" s="4" t="inlineStr">
        <is>
          <t>To Do</t>
        </is>
      </c>
    </row>
    <row r="16">
      <c r="A16" s="4" t="inlineStr">
        <is>
          <t>T-14</t>
        </is>
      </c>
      <c r="B16" s="4" t="inlineStr">
        <is>
          <t>Bảng nhan_vien_quyen + entity/repo</t>
        </is>
      </c>
      <c r="C16" s="4" t="inlineStr">
        <is>
          <t>Khóa kép (id_nhan_vien, man_hinh); rows là quyền hiệu lực</t>
        </is>
      </c>
      <c r="D16" s="5" t="inlineStr">
        <is>
          <t>PB-04</t>
        </is>
      </c>
      <c r="E16" s="5" t="inlineStr">
        <is>
          <t>RQ-02</t>
        </is>
      </c>
      <c r="F16" s="5" t="n">
        <v>1</v>
      </c>
      <c r="G16" s="5" t="n">
        <v>4</v>
      </c>
      <c r="H16" s="4" t="inlineStr">
        <is>
          <t>DEV1</t>
        </is>
      </c>
      <c r="I16" s="4" t="inlineStr">
        <is>
          <t>To Do</t>
        </is>
      </c>
    </row>
    <row r="17">
      <c r="A17" s="4" t="inlineStr">
        <is>
          <t>T-15</t>
        </is>
      </c>
      <c r="B17" s="4" t="inlineStr">
        <is>
          <t>Service phân quyền + ngoại lệ ADMIN</t>
        </is>
      </c>
      <c r="C17" s="4" t="inlineStr">
        <is>
          <t>Lưới, lưu quyền, áp template; ADMIN toàn quyền tính động</t>
        </is>
      </c>
      <c r="D17" s="5" t="inlineStr">
        <is>
          <t>PB-04</t>
        </is>
      </c>
      <c r="E17" s="5" t="inlineStr">
        <is>
          <t>RQ-02</t>
        </is>
      </c>
      <c r="F17" s="5" t="n">
        <v>1</v>
      </c>
      <c r="G17" s="5" t="n">
        <v>5</v>
      </c>
      <c r="H17" s="4" t="inlineStr">
        <is>
          <t>DEV1</t>
        </is>
      </c>
      <c r="I17" s="4" t="inlineStr">
        <is>
          <t>To Do</t>
        </is>
      </c>
    </row>
    <row r="18">
      <c r="A18" s="4" t="inlineStr">
        <is>
          <t>T-16</t>
        </is>
      </c>
      <c r="B18" s="4" t="inlineStr">
        <is>
          <t>Nối vào tạo NV và đổi vai trò</t>
        </is>
      </c>
      <c r="C18" s="4" t="inlineStr">
        <is>
          <t>Tạo NV thì chép template; đổi vai trò thì chép lại template mới</t>
        </is>
      </c>
      <c r="D18" s="5" t="inlineStr">
        <is>
          <t>PB-04</t>
        </is>
      </c>
      <c r="E18" s="5" t="inlineStr">
        <is>
          <t>RQ-02</t>
        </is>
      </c>
      <c r="F18" s="5" t="n">
        <v>1</v>
      </c>
      <c r="G18" s="5" t="n">
        <v>3</v>
      </c>
      <c r="H18" s="4" t="inlineStr">
        <is>
          <t>DEV1</t>
        </is>
      </c>
      <c r="I18" s="4" t="inlineStr">
        <is>
          <t>To Do</t>
        </is>
      </c>
    </row>
    <row r="19">
      <c r="A19" s="4" t="inlineStr">
        <is>
          <t>T-17</t>
        </is>
      </c>
      <c r="B19" s="4" t="inlineStr">
        <is>
          <t>Login trả quyền hiệu lực</t>
        </is>
      </c>
      <c r="C19" s="4" t="inlineStr">
        <is>
          <t>Lấy quyền của chính nhân viên thay cho template vai trò</t>
        </is>
      </c>
      <c r="D19" s="5" t="inlineStr">
        <is>
          <t>PB-04</t>
        </is>
      </c>
      <c r="E19" s="5" t="inlineStr">
        <is>
          <t>RQ-02</t>
        </is>
      </c>
      <c r="F19" s="5" t="n">
        <v>1</v>
      </c>
      <c r="G19" s="5" t="n">
        <v>2</v>
      </c>
      <c r="H19" s="4" t="inlineStr">
        <is>
          <t>DEV1</t>
        </is>
      </c>
      <c r="I19" s="4" t="inlineStr">
        <is>
          <t>To Do</t>
        </is>
      </c>
    </row>
    <row r="20">
      <c r="A20" s="4" t="inlineStr">
        <is>
          <t>T-18</t>
        </is>
      </c>
      <c r="B20" s="4" t="inlineStr">
        <is>
          <t>Lưới phân quyền (tab Nhân viên)</t>
        </is>
      </c>
      <c r="C20" s="4" t="inlineStr">
        <is>
          <t>Dòng NV x cột màn hình, đóng băng cột trái, lưu hàng loạt</t>
        </is>
      </c>
      <c r="D20" s="5" t="inlineStr">
        <is>
          <t>PB-04</t>
        </is>
      </c>
      <c r="E20" s="5" t="inlineStr">
        <is>
          <t>RQ-02</t>
        </is>
      </c>
      <c r="F20" s="5" t="n">
        <v>1</v>
      </c>
      <c r="G20" s="5" t="n">
        <v>6</v>
      </c>
      <c r="H20" s="4" t="inlineStr">
        <is>
          <t>DEV2</t>
        </is>
      </c>
      <c r="I20" s="4" t="inlineStr">
        <is>
          <t>To Do</t>
        </is>
      </c>
    </row>
    <row r="21">
      <c r="A21" s="4" t="inlineStr">
        <is>
          <t>T-19</t>
        </is>
      </c>
      <c r="B21" s="4" t="inlineStr">
        <is>
          <t>Unit test logic phân quyền</t>
        </is>
      </c>
      <c r="C21" s="4" t="inlineStr">
        <is>
          <t>11 test: ngoại lệ ADMIN, parse template, khử trùng, chống N+1</t>
        </is>
      </c>
      <c r="D21" s="5" t="inlineStr">
        <is>
          <t>PB-04</t>
        </is>
      </c>
      <c r="E21" s="5" t="inlineStr">
        <is>
          <t>RQ-02</t>
        </is>
      </c>
      <c r="F21" s="5" t="n">
        <v>1</v>
      </c>
      <c r="G21" s="5" t="n">
        <v>4</v>
      </c>
      <c r="H21" s="4" t="inlineStr">
        <is>
          <t>QC</t>
        </is>
      </c>
      <c r="I21" s="4" t="inlineStr">
        <is>
          <t>To Do</t>
        </is>
      </c>
    </row>
    <row r="22">
      <c r="A22" s="6" t="inlineStr">
        <is>
          <t>Sprint 2: Quản lý sản phẩm: sản phẩm, biến thể, nhập kho, danh mục, thuộc tính</t>
        </is>
      </c>
      <c r="B22" s="7" t="n"/>
      <c r="C22" s="7" t="n"/>
      <c r="D22" s="7" t="n"/>
      <c r="E22" s="7" t="n"/>
      <c r="F22" s="7" t="n"/>
      <c r="G22" s="7" t="n"/>
      <c r="H22" s="7" t="n"/>
      <c r="I22" s="8" t="n"/>
    </row>
    <row r="23">
      <c r="A23" s="4" t="inlineStr">
        <is>
          <t>T-20</t>
        </is>
      </c>
      <c r="B23" s="4" t="inlineStr">
        <is>
          <t>API /san-pham-ql CRUD</t>
        </is>
      </c>
      <c r="C23" s="4" t="inlineStr">
        <is>
          <t>Thêm/sửa/tìm/xóa mềm/khôi phục/thùng rác</t>
        </is>
      </c>
      <c r="D23" s="5" t="inlineStr">
        <is>
          <t>PB-05</t>
        </is>
      </c>
      <c r="E23" s="5" t="inlineStr">
        <is>
          <t>RQ-03</t>
        </is>
      </c>
      <c r="F23" s="5" t="n">
        <v>2</v>
      </c>
      <c r="G23" s="5" t="n">
        <v>6</v>
      </c>
      <c r="H23" s="4" t="inlineStr">
        <is>
          <t>DEV1</t>
        </is>
      </c>
      <c r="I23" s="4" t="inlineStr">
        <is>
          <t>To Do</t>
        </is>
      </c>
    </row>
    <row r="24">
      <c r="A24" s="4" t="inlineStr">
        <is>
          <t>T-21</t>
        </is>
      </c>
      <c r="B24" s="4" t="inlineStr">
        <is>
          <t>Màn quản lý sản phẩm</t>
        </is>
      </c>
      <c r="C24" s="4" t="inlineStr">
        <is>
          <t>Bảng + form chi tiết + chọn ảnh</t>
        </is>
      </c>
      <c r="D24" s="5" t="inlineStr">
        <is>
          <t>PB-05</t>
        </is>
      </c>
      <c r="E24" s="5" t="inlineStr">
        <is>
          <t>RQ-03</t>
        </is>
      </c>
      <c r="F24" s="5" t="n">
        <v>2</v>
      </c>
      <c r="G24" s="5" t="n">
        <v>6</v>
      </c>
      <c r="H24" s="4" t="inlineStr">
        <is>
          <t>DEV2</t>
        </is>
      </c>
      <c r="I24" s="4" t="inlineStr">
        <is>
          <t>To Do</t>
        </is>
      </c>
    </row>
    <row r="25">
      <c r="A25" s="4" t="inlineStr">
        <is>
          <t>T-22</t>
        </is>
      </c>
      <c r="B25" s="4" t="inlineStr">
        <is>
          <t>Test CRUD sản phẩm</t>
        </is>
      </c>
      <c r="C25" s="4" t="inlineStr">
        <is>
          <t>Thêm/sửa/ẩn/khôi phục</t>
        </is>
      </c>
      <c r="D25" s="5" t="inlineStr">
        <is>
          <t>PB-05</t>
        </is>
      </c>
      <c r="E25" s="5" t="inlineStr">
        <is>
          <t>RQ-03</t>
        </is>
      </c>
      <c r="F25" s="5" t="n">
        <v>2</v>
      </c>
      <c r="G25" s="5" t="n">
        <v>3</v>
      </c>
      <c r="H25" s="4" t="inlineStr">
        <is>
          <t>QC</t>
        </is>
      </c>
      <c r="I25" s="4" t="inlineStr">
        <is>
          <t>To Do</t>
        </is>
      </c>
    </row>
    <row r="26">
      <c r="A26" s="4" t="inlineStr">
        <is>
          <t>T-23</t>
        </is>
      </c>
      <c r="B26" s="4" t="inlineStr">
        <is>
          <t>API biến thể CRUD</t>
        </is>
      </c>
      <c r="C26" s="4" t="inlineStr">
        <is>
          <t>Tạo/sửa/xóa mềm biến thể, gộp về 1 controller</t>
        </is>
      </c>
      <c r="D26" s="5" t="inlineStr">
        <is>
          <t>PB-06</t>
        </is>
      </c>
      <c r="E26" s="5" t="inlineStr">
        <is>
          <t>RQ-03</t>
        </is>
      </c>
      <c r="F26" s="5" t="n">
        <v>2</v>
      </c>
      <c r="G26" s="5" t="n">
        <v>5</v>
      </c>
      <c r="H26" s="4" t="inlineStr">
        <is>
          <t>DEV1</t>
        </is>
      </c>
      <c r="I26" s="4" t="inlineStr">
        <is>
          <t>To Do</t>
        </is>
      </c>
    </row>
    <row r="27">
      <c r="A27" s="4" t="inlineStr">
        <is>
          <t>T-24</t>
        </is>
      </c>
      <c r="B27" s="4" t="inlineStr">
        <is>
          <t>Thêm cột gia_nhap</t>
        </is>
      </c>
      <c r="C27" s="4" t="inlineStr">
        <is>
          <t>CSDL + entity + DTO</t>
        </is>
      </c>
      <c r="D27" s="5" t="inlineStr">
        <is>
          <t>PB-06</t>
        </is>
      </c>
      <c r="E27" s="5" t="inlineStr">
        <is>
          <t>RQ-03</t>
        </is>
      </c>
      <c r="F27" s="5" t="n">
        <v>2</v>
      </c>
      <c r="G27" s="5" t="n">
        <v>3</v>
      </c>
      <c r="H27" s="4" t="inlineStr">
        <is>
          <t>DEV1</t>
        </is>
      </c>
      <c r="I27" s="4" t="inlineStr">
        <is>
          <t>To Do</t>
        </is>
      </c>
    </row>
    <row r="28">
      <c r="A28" s="4" t="inlineStr">
        <is>
          <t>T-25</t>
        </is>
      </c>
      <c r="B28" s="4" t="inlineStr">
        <is>
          <t>Tab Sản phẩm chi tiết</t>
        </is>
      </c>
      <c r="C28" s="4" t="inlineStr">
        <is>
          <t>Sửa giá bán/giá vốn/tồn/màu/size</t>
        </is>
      </c>
      <c r="D28" s="5" t="inlineStr">
        <is>
          <t>PB-06</t>
        </is>
      </c>
      <c r="E28" s="5" t="inlineStr">
        <is>
          <t>RQ-03</t>
        </is>
      </c>
      <c r="F28" s="5" t="n">
        <v>2</v>
      </c>
      <c r="G28" s="5" t="n">
        <v>5</v>
      </c>
      <c r="H28" s="4" t="inlineStr">
        <is>
          <t>DEV2</t>
        </is>
      </c>
      <c r="I28" s="4" t="inlineStr">
        <is>
          <t>To Do</t>
        </is>
      </c>
    </row>
    <row r="29">
      <c r="A29" s="4" t="inlineStr">
        <is>
          <t>T-26</t>
        </is>
      </c>
      <c r="B29" s="4" t="inlineStr">
        <is>
          <t>API POST /{id}/nhap-kho</t>
        </is>
      </c>
      <c r="C29" s="4" t="inlineStr">
        <is>
          <t>Cộng tồn, bật lại trạng thái bán</t>
        </is>
      </c>
      <c r="D29" s="5" t="inlineStr">
        <is>
          <t>PB-07</t>
        </is>
      </c>
      <c r="E29" s="5" t="inlineStr">
        <is>
          <t>RQ-03</t>
        </is>
      </c>
      <c r="F29" s="5" t="n">
        <v>2</v>
      </c>
      <c r="G29" s="5" t="n">
        <v>2</v>
      </c>
      <c r="H29" s="4" t="inlineStr">
        <is>
          <t>DEV1</t>
        </is>
      </c>
      <c r="I29" s="4" t="inlineStr">
        <is>
          <t>To Do</t>
        </is>
      </c>
    </row>
    <row r="30">
      <c r="A30" s="4" t="inlineStr">
        <is>
          <t>T-27</t>
        </is>
      </c>
      <c r="B30" s="4" t="inlineStr">
        <is>
          <t>Ô nhập kho trên form biến thể</t>
        </is>
      </c>
      <c r="C30" s="4" t="inlineStr">
        <is>
          <t>Nhập số lượng + nút Nhập</t>
        </is>
      </c>
      <c r="D30" s="5" t="inlineStr">
        <is>
          <t>PB-07</t>
        </is>
      </c>
      <c r="E30" s="5" t="inlineStr">
        <is>
          <t>RQ-03</t>
        </is>
      </c>
      <c r="F30" s="5" t="n">
        <v>2</v>
      </c>
      <c r="G30" s="5" t="n">
        <v>2</v>
      </c>
      <c r="H30" s="4" t="inlineStr">
        <is>
          <t>DEV2</t>
        </is>
      </c>
      <c r="I30" s="4" t="inlineStr">
        <is>
          <t>To Do</t>
        </is>
      </c>
    </row>
    <row r="31">
      <c r="A31" s="4" t="inlineStr">
        <is>
          <t>T-28</t>
        </is>
      </c>
      <c r="B31" s="4" t="inlineStr">
        <is>
          <t>API gán danh mục</t>
        </is>
      </c>
      <c r="C31" s="4" t="inlineStr">
        <is>
          <t>PUT /san-pham-ql/{id}/danh-muc</t>
        </is>
      </c>
      <c r="D31" s="5" t="inlineStr">
        <is>
          <t>PB-08</t>
        </is>
      </c>
      <c r="E31" s="5" t="inlineStr">
        <is>
          <t>RQ-03</t>
        </is>
      </c>
      <c r="F31" s="5" t="n">
        <v>2</v>
      </c>
      <c r="G31" s="5" t="n">
        <v>3</v>
      </c>
      <c r="H31" s="4" t="inlineStr">
        <is>
          <t>DEV1</t>
        </is>
      </c>
      <c r="I31" s="4" t="inlineStr">
        <is>
          <t>To Do</t>
        </is>
      </c>
    </row>
    <row r="32">
      <c r="A32" s="4" t="inlineStr">
        <is>
          <t>T-29</t>
        </is>
      </c>
      <c r="B32" s="4" t="inlineStr">
        <is>
          <t>Màn danh mục + gán sản phẩm</t>
        </is>
      </c>
      <c r="C32" s="4" t="inlineStr">
        <is>
          <t>Danh sách + thêm/bỏ sản phẩm</t>
        </is>
      </c>
      <c r="D32" s="5" t="inlineStr">
        <is>
          <t>PB-08</t>
        </is>
      </c>
      <c r="E32" s="5" t="inlineStr">
        <is>
          <t>RQ-03</t>
        </is>
      </c>
      <c r="F32" s="5" t="n">
        <v>2</v>
      </c>
      <c r="G32" s="5" t="n">
        <v>5</v>
      </c>
      <c r="H32" s="4" t="inlineStr">
        <is>
          <t>DEV2</t>
        </is>
      </c>
      <c r="I32" s="4" t="inlineStr">
        <is>
          <t>To Do</t>
        </is>
      </c>
    </row>
    <row r="33">
      <c r="A33" s="4" t="inlineStr">
        <is>
          <t>T-30</t>
        </is>
      </c>
      <c r="B33" s="4" t="inlineStr">
        <is>
          <t>API CRUD 8 nhóm thuộc tính</t>
        </is>
      </c>
      <c r="C33" s="4" t="inlineStr">
        <is>
          <t>Chất liệu, màu, size, kiểu...</t>
        </is>
      </c>
      <c r="D33" s="5" t="inlineStr">
        <is>
          <t>PB-09</t>
        </is>
      </c>
      <c r="E33" s="5" t="inlineStr">
        <is>
          <t>RQ-03</t>
        </is>
      </c>
      <c r="F33" s="5" t="n">
        <v>2</v>
      </c>
      <c r="G33" s="5" t="n">
        <v>4</v>
      </c>
      <c r="H33" s="4" t="inlineStr">
        <is>
          <t>DEV1</t>
        </is>
      </c>
      <c r="I33" s="4" t="inlineStr">
        <is>
          <t>To Do</t>
        </is>
      </c>
    </row>
    <row r="34">
      <c r="A34" s="4" t="inlineStr">
        <is>
          <t>T-31</t>
        </is>
      </c>
      <c r="B34" s="4" t="inlineStr">
        <is>
          <t>Màn thuộc tính + lọc theo loại</t>
        </is>
      </c>
      <c r="C34" s="4" t="inlineStr">
        <is>
          <t>Chọn loại -&gt; chỉ hiện đúng loại đó</t>
        </is>
      </c>
      <c r="D34" s="5" t="inlineStr">
        <is>
          <t>PB-09</t>
        </is>
      </c>
      <c r="E34" s="5" t="inlineStr">
        <is>
          <t>RQ-03</t>
        </is>
      </c>
      <c r="F34" s="5" t="n">
        <v>2</v>
      </c>
      <c r="G34" s="5" t="n">
        <v>5</v>
      </c>
      <c r="H34" s="4" t="inlineStr">
        <is>
          <t>DEV2</t>
        </is>
      </c>
      <c r="I34" s="4" t="inlineStr">
        <is>
          <t>To Do</t>
        </is>
      </c>
    </row>
    <row r="35">
      <c r="A35" s="4" t="inlineStr">
        <is>
          <t>T-32</t>
        </is>
      </c>
      <c r="B35" s="4" t="inlineStr">
        <is>
          <t>Tách panel danh mục / thuộc tính</t>
        </is>
      </c>
      <c r="C35" s="4" t="inlineStr">
        <is>
          <t>Bóc thân màn thành component để nhúng làm tab</t>
        </is>
      </c>
      <c r="D35" s="5" t="inlineStr">
        <is>
          <t>PB-10</t>
        </is>
      </c>
      <c r="E35" s="5" t="inlineStr">
        <is>
          <t>RQ-03</t>
        </is>
      </c>
      <c r="F35" s="5" t="n">
        <v>2</v>
      </c>
      <c r="G35" s="5" t="n">
        <v>3</v>
      </c>
      <c r="H35" s="4" t="inlineStr">
        <is>
          <t>DEV2</t>
        </is>
      </c>
      <c r="I35" s="4" t="inlineStr">
        <is>
          <t>To Do</t>
        </is>
      </c>
    </row>
    <row r="36">
      <c r="A36" s="4" t="inlineStr">
        <is>
          <t>T-33</t>
        </is>
      </c>
      <c r="B36" s="4" t="inlineStr">
        <is>
          <t>Gộp tab vào màn sản phẩm</t>
        </is>
      </c>
      <c r="C36" s="4" t="inlineStr">
        <is>
          <t>4 tab, panel lazy chỉ gọi API khi mở</t>
        </is>
      </c>
      <c r="D36" s="5" t="inlineStr">
        <is>
          <t>PB-10</t>
        </is>
      </c>
      <c r="E36" s="5" t="inlineStr">
        <is>
          <t>RQ-03</t>
        </is>
      </c>
      <c r="F36" s="5" t="n">
        <v>2</v>
      </c>
      <c r="G36" s="5" t="n">
        <v>2</v>
      </c>
      <c r="H36" s="4" t="inlineStr">
        <is>
          <t>DEV2</t>
        </is>
      </c>
      <c r="I36" s="4" t="inlineStr">
        <is>
          <t>To Do</t>
        </is>
      </c>
    </row>
    <row r="37">
      <c r="A37" s="6" t="inlineStr">
        <is>
          <t>Sprint 3: Bán hàng tại quầy: giỏ hàng trừ kho, thanh toán, in hóa đơn, quét QR</t>
        </is>
      </c>
      <c r="B37" s="7" t="n"/>
      <c r="C37" s="7" t="n"/>
      <c r="D37" s="7" t="n"/>
      <c r="E37" s="7" t="n"/>
      <c r="F37" s="7" t="n"/>
      <c r="G37" s="7" t="n"/>
      <c r="H37" s="7" t="n"/>
      <c r="I37" s="8" t="n"/>
    </row>
    <row r="38">
      <c r="A38" s="4" t="inlineStr">
        <is>
          <t>T-34</t>
        </is>
      </c>
      <c r="B38" s="4" t="inlineStr">
        <is>
          <t>API POST /hoa-don/create-empty</t>
        </is>
      </c>
      <c r="C38" s="4" t="inlineStr">
        <is>
          <t>Sinh mã HĐ, trạng thái 0, giới hạn 3 đơn chờ</t>
        </is>
      </c>
      <c r="D38" s="5" t="inlineStr">
        <is>
          <t>PB-11</t>
        </is>
      </c>
      <c r="E38" s="5" t="inlineStr">
        <is>
          <t>RQ-04</t>
        </is>
      </c>
      <c r="F38" s="5" t="n">
        <v>3</v>
      </c>
      <c r="G38" s="5" t="n">
        <v>4</v>
      </c>
      <c r="H38" s="4" t="inlineStr">
        <is>
          <t>DEV1</t>
        </is>
      </c>
      <c r="I38" s="4" t="inlineStr">
        <is>
          <t>To Do</t>
        </is>
      </c>
    </row>
    <row r="39">
      <c r="A39" s="4" t="inlineStr">
        <is>
          <t>T-35</t>
        </is>
      </c>
      <c r="B39" s="4" t="inlineStr">
        <is>
          <t>Giao diện danh sách hóa đơn chờ</t>
        </is>
      </c>
      <c r="C39" s="4" t="inlineStr">
        <is>
          <t>Bảng hóa đơn + nút Tạo hóa đơn</t>
        </is>
      </c>
      <c r="D39" s="5" t="inlineStr">
        <is>
          <t>PB-11</t>
        </is>
      </c>
      <c r="E39" s="5" t="inlineStr">
        <is>
          <t>RQ-04</t>
        </is>
      </c>
      <c r="F39" s="5" t="n">
        <v>3</v>
      </c>
      <c r="G39" s="5" t="n">
        <v>3</v>
      </c>
      <c r="H39" s="4" t="inlineStr">
        <is>
          <t>DEV2</t>
        </is>
      </c>
      <c r="I39" s="4" t="inlineStr">
        <is>
          <t>To Do</t>
        </is>
      </c>
    </row>
    <row r="40">
      <c r="A40" s="4" t="inlineStr">
        <is>
          <t>T-36</t>
        </is>
      </c>
      <c r="B40" s="4" t="inlineStr">
        <is>
          <t>Test tạo hóa đơn</t>
        </is>
      </c>
      <c r="C40" s="4" t="inlineStr">
        <is>
          <t>Tạo/chuyển/giới hạn 3 đơn</t>
        </is>
      </c>
      <c r="D40" s="5" t="inlineStr">
        <is>
          <t>PB-11</t>
        </is>
      </c>
      <c r="E40" s="5" t="inlineStr">
        <is>
          <t>RQ-04</t>
        </is>
      </c>
      <c r="F40" s="5" t="n">
        <v>3</v>
      </c>
      <c r="G40" s="5" t="n">
        <v>2</v>
      </c>
      <c r="H40" s="4" t="inlineStr">
        <is>
          <t>QC</t>
        </is>
      </c>
      <c r="I40" s="4" t="inlineStr">
        <is>
          <t>To Do</t>
        </is>
      </c>
    </row>
    <row r="41">
      <c r="A41" s="4" t="inlineStr">
        <is>
          <t>T-37</t>
        </is>
      </c>
      <c r="B41" s="4" t="inlineStr">
        <is>
          <t>Query trừ kho nguyên tử</t>
        </is>
      </c>
      <c r="C41" s="4" t="inlineStr">
        <is>
          <t>UPDATE ... WHERE so_luong_ton &gt;= n</t>
        </is>
      </c>
      <c r="D41" s="5" t="inlineStr">
        <is>
          <t>PB-12</t>
        </is>
      </c>
      <c r="E41" s="5" t="inlineStr">
        <is>
          <t>RQ-04</t>
        </is>
      </c>
      <c r="F41" s="5" t="n">
        <v>3</v>
      </c>
      <c r="G41" s="5" t="n">
        <v>4</v>
      </c>
      <c r="H41" s="4" t="inlineStr">
        <is>
          <t>DEV1</t>
        </is>
      </c>
      <c r="I41" s="4" t="inlineStr">
        <is>
          <t>To Do</t>
        </is>
      </c>
    </row>
    <row r="42">
      <c r="A42" s="4" t="inlineStr">
        <is>
          <t>T-38</t>
        </is>
      </c>
      <c r="B42" s="4" t="inlineStr">
        <is>
          <t>API POST /hoa-don/{id}/items</t>
        </is>
      </c>
      <c r="C42" s="4" t="inlineStr">
        <is>
          <t>Thêm dòng + trừ kho + tính tổng</t>
        </is>
      </c>
      <c r="D42" s="5" t="inlineStr">
        <is>
          <t>PB-12</t>
        </is>
      </c>
      <c r="E42" s="5" t="inlineStr">
        <is>
          <t>RQ-04</t>
        </is>
      </c>
      <c r="F42" s="5" t="n">
        <v>3</v>
      </c>
      <c r="G42" s="5" t="n">
        <v>5</v>
      </c>
      <c r="H42" s="4" t="inlineStr">
        <is>
          <t>DEV1</t>
        </is>
      </c>
      <c r="I42" s="4" t="inlineStr">
        <is>
          <t>To Do</t>
        </is>
      </c>
    </row>
    <row r="43">
      <c r="A43" s="4" t="inlineStr">
        <is>
          <t>T-39</t>
        </is>
      </c>
      <c r="B43" s="4" t="inlineStr">
        <is>
          <t>API sửa/xóa dòng giỏ</t>
        </is>
      </c>
      <c r="C43" s="4" t="inlineStr">
        <is>
          <t>PUT/DELETE + hoàn kho theo delta</t>
        </is>
      </c>
      <c r="D43" s="5" t="inlineStr">
        <is>
          <t>PB-12</t>
        </is>
      </c>
      <c r="E43" s="5" t="inlineStr">
        <is>
          <t>RQ-04</t>
        </is>
      </c>
      <c r="F43" s="5" t="n">
        <v>3</v>
      </c>
      <c r="G43" s="5" t="n">
        <v>4</v>
      </c>
      <c r="H43" s="4" t="inlineStr">
        <is>
          <t>DEV1</t>
        </is>
      </c>
      <c r="I43" s="4" t="inlineStr">
        <is>
          <t>To Do</t>
        </is>
      </c>
    </row>
    <row r="44">
      <c r="A44" s="4" t="inlineStr">
        <is>
          <t>T-40</t>
        </is>
      </c>
      <c r="B44" s="4" t="inlineStr">
        <is>
          <t>Giỏ hàng nối server</t>
        </is>
      </c>
      <c r="C44" s="4" t="inlineStr">
        <is>
          <t>Thêm/tăng/giảm/xóa gọi API, đồng bộ tồn</t>
        </is>
      </c>
      <c r="D44" s="5" t="inlineStr">
        <is>
          <t>PB-12</t>
        </is>
      </c>
      <c r="E44" s="5" t="inlineStr">
        <is>
          <t>RQ-04</t>
        </is>
      </c>
      <c r="F44" s="5" t="n">
        <v>3</v>
      </c>
      <c r="G44" s="5" t="n">
        <v>6</v>
      </c>
      <c r="H44" s="4" t="inlineStr">
        <is>
          <t>DEV3</t>
        </is>
      </c>
      <c r="I44" s="4" t="inlineStr">
        <is>
          <t>To Do</t>
        </is>
      </c>
    </row>
    <row r="45">
      <c r="A45" s="4" t="inlineStr">
        <is>
          <t>T-41</t>
        </is>
      </c>
      <c r="B45" s="4" t="inlineStr">
        <is>
          <t>Test trừ kho</t>
        </is>
      </c>
      <c r="C45" s="4" t="inlineStr">
        <is>
          <t>Thêm/bớt/xóa, kiểm tồn khớp, chặn quá tồn</t>
        </is>
      </c>
      <c r="D45" s="5" t="inlineStr">
        <is>
          <t>PB-12</t>
        </is>
      </c>
      <c r="E45" s="5" t="inlineStr">
        <is>
          <t>RQ-04</t>
        </is>
      </c>
      <c r="F45" s="5" t="n">
        <v>3</v>
      </c>
      <c r="G45" s="5" t="n">
        <v>4</v>
      </c>
      <c r="H45" s="4" t="inlineStr">
        <is>
          <t>QC</t>
        </is>
      </c>
      <c r="I45" s="4" t="inlineStr">
        <is>
          <t>To Do</t>
        </is>
      </c>
    </row>
    <row r="46">
      <c r="A46" s="4" t="inlineStr">
        <is>
          <t>T-42</t>
        </is>
      </c>
      <c r="B46" s="4" t="inlineStr">
        <is>
          <t>API tính giảm giá</t>
        </is>
      </c>
      <c r="C46" s="4" t="inlineStr">
        <is>
          <t>Gọi hàm tinh_tien_giam_gia</t>
        </is>
      </c>
      <c r="D46" s="5" t="inlineStr">
        <is>
          <t>PB-13</t>
        </is>
      </c>
      <c r="E46" s="5" t="inlineStr">
        <is>
          <t>RQ-04</t>
        </is>
      </c>
      <c r="F46" s="5" t="n">
        <v>3</v>
      </c>
      <c r="G46" s="5" t="n">
        <v>3</v>
      </c>
      <c r="H46" s="4" t="inlineStr">
        <is>
          <t>DEV1</t>
        </is>
      </c>
      <c r="I46" s="4" t="inlineStr">
        <is>
          <t>To Do</t>
        </is>
      </c>
    </row>
    <row r="47">
      <c r="A47" s="4" t="inlineStr">
        <is>
          <t>T-43</t>
        </is>
      </c>
      <c r="B47" s="4" t="inlineStr">
        <is>
          <t>Chọn phiếu giảm giá ở POS</t>
        </is>
      </c>
      <c r="C47" s="4" t="inlineStr">
        <is>
          <t>Dropdown + tính lại thành tiền</t>
        </is>
      </c>
      <c r="D47" s="5" t="inlineStr">
        <is>
          <t>PB-13</t>
        </is>
      </c>
      <c r="E47" s="5" t="inlineStr">
        <is>
          <t>RQ-04</t>
        </is>
      </c>
      <c r="F47" s="5" t="n">
        <v>3</v>
      </c>
      <c r="G47" s="5" t="n">
        <v>3</v>
      </c>
      <c r="H47" s="4" t="inlineStr">
        <is>
          <t>DEV2</t>
        </is>
      </c>
      <c r="I47" s="4" t="inlineStr">
        <is>
          <t>To Do</t>
        </is>
      </c>
    </row>
    <row r="48">
      <c r="A48" s="4" t="inlineStr">
        <is>
          <t>T-44</t>
        </is>
      </c>
      <c r="B48" s="4" t="inlineStr">
        <is>
          <t>API POST /{id}/thanh-toan</t>
        </is>
      </c>
      <c r="C48" s="4" t="inlineStr">
        <is>
          <t>Chốt tổng tiền, trạng thái, phương thức</t>
        </is>
      </c>
      <c r="D48" s="5" t="inlineStr">
        <is>
          <t>PB-14</t>
        </is>
      </c>
      <c r="E48" s="5" t="inlineStr">
        <is>
          <t>RQ-04</t>
        </is>
      </c>
      <c r="F48" s="5" t="n">
        <v>3</v>
      </c>
      <c r="G48" s="5" t="n">
        <v>5</v>
      </c>
      <c r="H48" s="4" t="inlineStr">
        <is>
          <t>DEV1</t>
        </is>
      </c>
      <c r="I48" s="4" t="inlineStr">
        <is>
          <t>To Do</t>
        </is>
      </c>
    </row>
    <row r="49">
      <c r="A49" s="4" t="inlineStr">
        <is>
          <t>T-45</t>
        </is>
      </c>
      <c r="B49" s="4" t="inlineStr">
        <is>
          <t>Ghi lịch sử hóa đơn</t>
        </is>
      </c>
      <c r="C49" s="4" t="inlineStr">
        <is>
          <t>Ghi lich_su_hoa_don khi thanh toán</t>
        </is>
      </c>
      <c r="D49" s="5" t="inlineStr">
        <is>
          <t>PB-14</t>
        </is>
      </c>
      <c r="E49" s="5" t="inlineStr">
        <is>
          <t>RQ-04</t>
        </is>
      </c>
      <c r="F49" s="5" t="n">
        <v>3</v>
      </c>
      <c r="G49" s="5" t="n">
        <v>3</v>
      </c>
      <c r="H49" s="4" t="inlineStr">
        <is>
          <t>DEV1</t>
        </is>
      </c>
      <c r="I49" s="4" t="inlineStr">
        <is>
          <t>To Do</t>
        </is>
      </c>
    </row>
    <row r="50">
      <c r="A50" s="4" t="inlineStr">
        <is>
          <t>T-46</t>
        </is>
      </c>
      <c r="B50" s="4" t="inlineStr">
        <is>
          <t>Kiểm tra tiền khách đưa</t>
        </is>
      </c>
      <c r="C50" s="4" t="inlineStr">
        <is>
          <t>Chặn khi khách đưa &lt; phải trả, tính tiền thừa</t>
        </is>
      </c>
      <c r="D50" s="5" t="inlineStr">
        <is>
          <t>PB-14</t>
        </is>
      </c>
      <c r="E50" s="5" t="inlineStr">
        <is>
          <t>RQ-04</t>
        </is>
      </c>
      <c r="F50" s="5" t="n">
        <v>3</v>
      </c>
      <c r="G50" s="5" t="n">
        <v>3</v>
      </c>
      <c r="H50" s="4" t="inlineStr">
        <is>
          <t>DEV2</t>
        </is>
      </c>
      <c r="I50" s="4" t="inlineStr">
        <is>
          <t>To Do</t>
        </is>
      </c>
    </row>
    <row r="51">
      <c r="A51" s="4" t="inlineStr">
        <is>
          <t>T-47</t>
        </is>
      </c>
      <c r="B51" s="4" t="inlineStr">
        <is>
          <t>Popup VietQR + kết hợp</t>
        </is>
      </c>
      <c r="C51" s="4" t="inlineStr">
        <is>
          <t>QR số tiền, tách tiền mặt / chuyển khoản</t>
        </is>
      </c>
      <c r="D51" s="5" t="inlineStr">
        <is>
          <t>PB-14</t>
        </is>
      </c>
      <c r="E51" s="5" t="inlineStr">
        <is>
          <t>RQ-04</t>
        </is>
      </c>
      <c r="F51" s="5" t="n">
        <v>3</v>
      </c>
      <c r="G51" s="5" t="n">
        <v>5</v>
      </c>
      <c r="H51" s="4" t="inlineStr">
        <is>
          <t>DEV2</t>
        </is>
      </c>
      <c r="I51" s="4" t="inlineStr">
        <is>
          <t>To Do</t>
        </is>
      </c>
    </row>
    <row r="52">
      <c r="A52" s="4" t="inlineStr">
        <is>
          <t>T-48</t>
        </is>
      </c>
      <c r="B52" s="4" t="inlineStr">
        <is>
          <t>Test thanh toán</t>
        </is>
      </c>
      <c r="C52" s="4" t="inlineStr">
        <is>
          <t>3 hình thức, kiểm DB + lịch sử + tồn</t>
        </is>
      </c>
      <c r="D52" s="5" t="inlineStr">
        <is>
          <t>PB-14</t>
        </is>
      </c>
      <c r="E52" s="5" t="inlineStr">
        <is>
          <t>RQ-04</t>
        </is>
      </c>
      <c r="F52" s="5" t="n">
        <v>3</v>
      </c>
      <c r="G52" s="5" t="n">
        <v>4</v>
      </c>
      <c r="H52" s="4" t="inlineStr">
        <is>
          <t>QC</t>
        </is>
      </c>
      <c r="I52" s="4" t="inlineStr">
        <is>
          <t>To Do</t>
        </is>
      </c>
    </row>
    <row r="53">
      <c r="A53" s="4" t="inlineStr">
        <is>
          <t>T-49</t>
        </is>
      </c>
      <c r="B53" s="4" t="inlineStr">
        <is>
          <t>Dựng mẫu phiếu in</t>
        </is>
      </c>
      <c r="C53" s="4" t="inlineStr">
        <is>
          <t>HTML phiếu tạm tính / hóa đơn</t>
        </is>
      </c>
      <c r="D53" s="5" t="inlineStr">
        <is>
          <t>PB-15</t>
        </is>
      </c>
      <c r="E53" s="5" t="inlineStr">
        <is>
          <t>RQ-04</t>
        </is>
      </c>
      <c r="F53" s="5" t="n">
        <v>3</v>
      </c>
      <c r="G53" s="5" t="n">
        <v>3</v>
      </c>
      <c r="H53" s="4" t="inlineStr">
        <is>
          <t>DEV2</t>
        </is>
      </c>
      <c r="I53" s="4" t="inlineStr">
        <is>
          <t>To Do</t>
        </is>
      </c>
    </row>
    <row r="54">
      <c r="A54" s="4" t="inlineStr">
        <is>
          <t>T-50</t>
        </is>
      </c>
      <c r="B54" s="4" t="inlineStr">
        <is>
          <t>In qua iframe ẩn</t>
        </is>
      </c>
      <c r="C54" s="4" t="inlineStr">
        <is>
          <t>Tránh bị chặn popup</t>
        </is>
      </c>
      <c r="D54" s="5" t="inlineStr">
        <is>
          <t>PB-15</t>
        </is>
      </c>
      <c r="E54" s="5" t="inlineStr">
        <is>
          <t>RQ-04</t>
        </is>
      </c>
      <c r="F54" s="5" t="n">
        <v>3</v>
      </c>
      <c r="G54" s="5" t="n">
        <v>2</v>
      </c>
      <c r="H54" s="4" t="inlineStr">
        <is>
          <t>DEV2</t>
        </is>
      </c>
      <c r="I54" s="4" t="inlineStr">
        <is>
          <t>To Do</t>
        </is>
      </c>
    </row>
    <row r="55">
      <c r="A55" s="4" t="inlineStr">
        <is>
          <t>T-51</t>
        </is>
      </c>
      <c r="B55" s="4" t="inlineStr">
        <is>
          <t>API POST /{id}/huy</t>
        </is>
      </c>
      <c r="C55" s="4" t="inlineStr">
        <is>
          <t>Trạng thái Hủy + hoàn kho + lịch sử</t>
        </is>
      </c>
      <c r="D55" s="5" t="inlineStr">
        <is>
          <t>PB-16</t>
        </is>
      </c>
      <c r="E55" s="5" t="inlineStr">
        <is>
          <t>RQ-04</t>
        </is>
      </c>
      <c r="F55" s="5" t="n">
        <v>3</v>
      </c>
      <c r="G55" s="5" t="n">
        <v>4</v>
      </c>
      <c r="H55" s="4" t="inlineStr">
        <is>
          <t>DEV1</t>
        </is>
      </c>
      <c r="I55" s="4" t="inlineStr">
        <is>
          <t>To Do</t>
        </is>
      </c>
    </row>
    <row r="56">
      <c r="A56" s="4" t="inlineStr">
        <is>
          <t>T-52</t>
        </is>
      </c>
      <c r="B56" s="4" t="inlineStr">
        <is>
          <t>Nút Hủy trên POS</t>
        </is>
      </c>
      <c r="C56" s="4" t="inlineStr">
        <is>
          <t>Xác nhận trước khi hủy</t>
        </is>
      </c>
      <c r="D56" s="5" t="inlineStr">
        <is>
          <t>PB-16</t>
        </is>
      </c>
      <c r="E56" s="5" t="inlineStr">
        <is>
          <t>RQ-04</t>
        </is>
      </c>
      <c r="F56" s="5" t="n">
        <v>3</v>
      </c>
      <c r="G56" s="5" t="n">
        <v>2</v>
      </c>
      <c r="H56" s="4" t="inlineStr">
        <is>
          <t>DEV2</t>
        </is>
      </c>
      <c r="I56" s="4" t="inlineStr">
        <is>
          <t>To Do</t>
        </is>
      </c>
    </row>
    <row r="57">
      <c r="A57" s="4" t="inlineStr">
        <is>
          <t>T-53</t>
        </is>
      </c>
      <c r="B57" s="4" t="inlineStr">
        <is>
          <t>API GET /san-pham-chi-tiet/by-ma/{ma}</t>
        </is>
      </c>
      <c r="C57" s="4" t="inlineStr">
        <is>
          <t>Tra biến thể theo mã</t>
        </is>
      </c>
      <c r="D57" s="5" t="inlineStr">
        <is>
          <t>PB-17</t>
        </is>
      </c>
      <c r="E57" s="5" t="inlineStr">
        <is>
          <t>RQ-04</t>
        </is>
      </c>
      <c r="F57" s="5" t="n">
        <v>3</v>
      </c>
      <c r="G57" s="5" t="n">
        <v>2</v>
      </c>
      <c r="H57" s="4" t="inlineStr">
        <is>
          <t>DEV1</t>
        </is>
      </c>
      <c r="I57" s="4" t="inlineStr">
        <is>
          <t>To Do</t>
        </is>
      </c>
    </row>
    <row r="58">
      <c r="A58" s="4" t="inlineStr">
        <is>
          <t>T-54</t>
        </is>
      </c>
      <c r="B58" s="4" t="inlineStr">
        <is>
          <t>Trình quét QR trên trình duyệt</t>
        </is>
      </c>
      <c r="C58" s="4" t="inlineStr">
        <is>
          <t>Camera + zxing, thêm vào giỏ</t>
        </is>
      </c>
      <c r="D58" s="5" t="inlineStr">
        <is>
          <t>PB-17</t>
        </is>
      </c>
      <c r="E58" s="5" t="inlineStr">
        <is>
          <t>RQ-04</t>
        </is>
      </c>
      <c r="F58" s="5" t="n">
        <v>3</v>
      </c>
      <c r="G58" s="5" t="n">
        <v>5</v>
      </c>
      <c r="H58" s="4" t="inlineStr">
        <is>
          <t>DEV3</t>
        </is>
      </c>
      <c r="I58" s="4" t="inlineStr">
        <is>
          <t>To Do</t>
        </is>
      </c>
    </row>
    <row r="59">
      <c r="A59" s="4" t="inlineStr">
        <is>
          <t>T-55</t>
        </is>
      </c>
      <c r="B59" s="4" t="inlineStr">
        <is>
          <t>Component popup thêm khách</t>
        </is>
      </c>
      <c r="C59" s="4" t="inlineStr">
        <is>
          <t>Chỉ form, không xem danh sách</t>
        </is>
      </c>
      <c r="D59" s="5" t="inlineStr">
        <is>
          <t>PB-18</t>
        </is>
      </c>
      <c r="E59" s="5" t="inlineStr">
        <is>
          <t>RQ-04</t>
        </is>
      </c>
      <c r="F59" s="5" t="n">
        <v>3</v>
      </c>
      <c r="G59" s="5" t="n">
        <v>3</v>
      </c>
      <c r="H59" s="4" t="inlineStr">
        <is>
          <t>DEV2</t>
        </is>
      </c>
      <c r="I59" s="4" t="inlineStr">
        <is>
          <t>To Do</t>
        </is>
      </c>
    </row>
    <row r="60">
      <c r="A60" s="4" t="inlineStr">
        <is>
          <t>T-56</t>
        </is>
      </c>
      <c r="B60" s="4" t="inlineStr">
        <is>
          <t>Gắn khách vào hóa đơn</t>
        </is>
      </c>
      <c r="C60" s="4" t="inlineStr">
        <is>
          <t>Lưu idKhachHang khi thanh toán</t>
        </is>
      </c>
      <c r="D60" s="5" t="inlineStr">
        <is>
          <t>PB-18</t>
        </is>
      </c>
      <c r="E60" s="5" t="inlineStr">
        <is>
          <t>RQ-04</t>
        </is>
      </c>
      <c r="F60" s="5" t="n">
        <v>3</v>
      </c>
      <c r="G60" s="5" t="n">
        <v>2</v>
      </c>
      <c r="H60" s="4" t="inlineStr">
        <is>
          <t>DEV3</t>
        </is>
      </c>
      <c r="I60" s="4" t="inlineStr">
        <is>
          <t>To Do</t>
        </is>
      </c>
    </row>
    <row r="61">
      <c r="A61" s="6" t="inlineStr">
        <is>
          <t>Sprint 4: Đơn đặt hàng, giao hàng, trả hàng và quản lý khách hàng</t>
        </is>
      </c>
      <c r="B61" s="7" t="n"/>
      <c r="C61" s="7" t="n"/>
      <c r="D61" s="7" t="n"/>
      <c r="E61" s="7" t="n"/>
      <c r="F61" s="7" t="n"/>
      <c r="G61" s="7" t="n"/>
      <c r="H61" s="7" t="n"/>
      <c r="I61" s="8" t="n"/>
    </row>
    <row r="62">
      <c r="A62" s="4" t="inlineStr">
        <is>
          <t>T-57</t>
        </is>
      </c>
      <c r="B62" s="4" t="inlineStr">
        <is>
          <t>Thêm cột phi_ship + API đặt hàng</t>
        </is>
      </c>
      <c r="C62" s="4" t="inlineStr">
        <is>
          <t>Tổng tiền gồm ship, trạng thái Chờ giao</t>
        </is>
      </c>
      <c r="D62" s="5" t="inlineStr">
        <is>
          <t>PB-19</t>
        </is>
      </c>
      <c r="E62" s="5" t="inlineStr">
        <is>
          <t>RQ-05</t>
        </is>
      </c>
      <c r="F62" s="5" t="n">
        <v>4</v>
      </c>
      <c r="G62" s="5" t="n">
        <v>4</v>
      </c>
      <c r="H62" s="4" t="inlineStr">
        <is>
          <t>DEV1</t>
        </is>
      </c>
      <c r="I62" s="4" t="inlineStr">
        <is>
          <t>To Do</t>
        </is>
      </c>
    </row>
    <row r="63">
      <c r="A63" s="4" t="inlineStr">
        <is>
          <t>T-58</t>
        </is>
      </c>
      <c r="B63" s="4" t="inlineStr">
        <is>
          <t>Tab Đặt hàng ở POS</t>
        </is>
      </c>
      <c r="C63" s="4" t="inlineStr">
        <is>
          <t>Nhập phí ship, địa chỉ, nút Giao hàng</t>
        </is>
      </c>
      <c r="D63" s="5" t="inlineStr">
        <is>
          <t>PB-19</t>
        </is>
      </c>
      <c r="E63" s="5" t="inlineStr">
        <is>
          <t>RQ-05</t>
        </is>
      </c>
      <c r="F63" s="5" t="n">
        <v>4</v>
      </c>
      <c r="G63" s="5" t="n">
        <v>4</v>
      </c>
      <c r="H63" s="4" t="inlineStr">
        <is>
          <t>DEV2</t>
        </is>
      </c>
      <c r="I63" s="4" t="inlineStr">
        <is>
          <t>To Do</t>
        </is>
      </c>
    </row>
    <row r="64">
      <c r="A64" s="4" t="inlineStr">
        <is>
          <t>T-59</t>
        </is>
      </c>
      <c r="B64" s="4" t="inlineStr">
        <is>
          <t>API POST /{id}/da-giao</t>
        </is>
      </c>
      <c r="C64" s="4" t="inlineStr">
        <is>
          <t>Chờ giao -&gt; Đã giao + lịch sử</t>
        </is>
      </c>
      <c r="D64" s="5" t="inlineStr">
        <is>
          <t>PB-20</t>
        </is>
      </c>
      <c r="E64" s="5" t="inlineStr">
        <is>
          <t>RQ-05</t>
        </is>
      </c>
      <c r="F64" s="5" t="n">
        <v>4</v>
      </c>
      <c r="G64" s="5" t="n">
        <v>2</v>
      </c>
      <c r="H64" s="4" t="inlineStr">
        <is>
          <t>DEV1</t>
        </is>
      </c>
      <c r="I64" s="4" t="inlineStr">
        <is>
          <t>To Do</t>
        </is>
      </c>
    </row>
    <row r="65">
      <c r="A65" s="4" t="inlineStr">
        <is>
          <t>T-60</t>
        </is>
      </c>
      <c r="B65" s="4" t="inlineStr">
        <is>
          <t>Màn theo dõi đơn giao</t>
        </is>
      </c>
      <c r="C65" s="4" t="inlineStr">
        <is>
          <t>Bảng + tab trạng thái + nút Đã giao</t>
        </is>
      </c>
      <c r="D65" s="5" t="inlineStr">
        <is>
          <t>PB-20</t>
        </is>
      </c>
      <c r="E65" s="5" t="inlineStr">
        <is>
          <t>RQ-05</t>
        </is>
      </c>
      <c r="F65" s="5" t="n">
        <v>4</v>
      </c>
      <c r="G65" s="5" t="n">
        <v>5</v>
      </c>
      <c r="H65" s="4" t="inlineStr">
        <is>
          <t>DEV2</t>
        </is>
      </c>
      <c r="I65" s="4" t="inlineStr">
        <is>
          <t>To Do</t>
        </is>
      </c>
    </row>
    <row r="66">
      <c r="A66" s="4" t="inlineStr">
        <is>
          <t>T-61</t>
        </is>
      </c>
      <c r="B66" s="4" t="inlineStr">
        <is>
          <t>API POST /{id}/tra-hang</t>
        </is>
      </c>
      <c r="C66" s="4" t="inlineStr">
        <is>
          <t>Trạng thái Trả hàng + hoàn kho</t>
        </is>
      </c>
      <c r="D66" s="5" t="inlineStr">
        <is>
          <t>PB-21</t>
        </is>
      </c>
      <c r="E66" s="5" t="inlineStr">
        <is>
          <t>RQ-05</t>
        </is>
      </c>
      <c r="F66" s="5" t="n">
        <v>4</v>
      </c>
      <c r="G66" s="5" t="n">
        <v>3</v>
      </c>
      <c r="H66" s="4" t="inlineStr">
        <is>
          <t>DEV1</t>
        </is>
      </c>
      <c r="I66" s="4" t="inlineStr">
        <is>
          <t>To Do</t>
        </is>
      </c>
    </row>
    <row r="67">
      <c r="A67" s="4" t="inlineStr">
        <is>
          <t>T-62</t>
        </is>
      </c>
      <c r="B67" s="4" t="inlineStr">
        <is>
          <t>Nút Trả hàng ở Giao hàng &amp; Lịch sử</t>
        </is>
      </c>
      <c r="C67" s="4" t="inlineStr">
        <is>
          <t>Xác nhận + làm mới danh sách</t>
        </is>
      </c>
      <c r="D67" s="5" t="inlineStr">
        <is>
          <t>PB-21</t>
        </is>
      </c>
      <c r="E67" s="5" t="inlineStr">
        <is>
          <t>RQ-05</t>
        </is>
      </c>
      <c r="F67" s="5" t="n">
        <v>4</v>
      </c>
      <c r="G67" s="5" t="n">
        <v>3</v>
      </c>
      <c r="H67" s="4" t="inlineStr">
        <is>
          <t>DEV3</t>
        </is>
      </c>
      <c r="I67" s="4" t="inlineStr">
        <is>
          <t>To Do</t>
        </is>
      </c>
    </row>
    <row r="68">
      <c r="A68" s="4" t="inlineStr">
        <is>
          <t>T-63</t>
        </is>
      </c>
      <c r="B68" s="4" t="inlineStr">
        <is>
          <t>API khách hàng CRUD</t>
        </is>
      </c>
      <c r="C68" s="4" t="inlineStr">
        <is>
          <t>Thêm/sửa/xóa/tìm</t>
        </is>
      </c>
      <c r="D68" s="5" t="inlineStr">
        <is>
          <t>PB-22</t>
        </is>
      </c>
      <c r="E68" s="5" t="inlineStr">
        <is>
          <t>RQ-06</t>
        </is>
      </c>
      <c r="F68" s="5" t="n">
        <v>4</v>
      </c>
      <c r="G68" s="5" t="n">
        <v>4</v>
      </c>
      <c r="H68" s="4" t="inlineStr">
        <is>
          <t>DEV1</t>
        </is>
      </c>
      <c r="I68" s="4" t="inlineStr">
        <is>
          <t>To Do</t>
        </is>
      </c>
    </row>
    <row r="69">
      <c r="A69" s="4" t="inlineStr">
        <is>
          <t>T-64</t>
        </is>
      </c>
      <c r="B69" s="4" t="inlineStr">
        <is>
          <t>Màn khách hàng</t>
        </is>
      </c>
      <c r="C69" s="4" t="inlineStr">
        <is>
          <t>Bảng + modal thêm/sửa</t>
        </is>
      </c>
      <c r="D69" s="5" t="inlineStr">
        <is>
          <t>PB-22</t>
        </is>
      </c>
      <c r="E69" s="5" t="inlineStr">
        <is>
          <t>RQ-06</t>
        </is>
      </c>
      <c r="F69" s="5" t="n">
        <v>4</v>
      </c>
      <c r="G69" s="5" t="n">
        <v>4</v>
      </c>
      <c r="H69" s="4" t="inlineStr">
        <is>
          <t>DEV2</t>
        </is>
      </c>
      <c r="I69" s="4" t="inlineStr">
        <is>
          <t>To Do</t>
        </is>
      </c>
    </row>
    <row r="70">
      <c r="A70" s="4" t="inlineStr">
        <is>
          <t>T-65</t>
        </is>
      </c>
      <c r="B70" s="4" t="inlineStr">
        <is>
          <t>API địa chỉ CRUD</t>
        </is>
      </c>
      <c r="C70" s="4" t="inlineStr">
        <is>
          <t>GET theo khách, thêm/sửa/xóa</t>
        </is>
      </c>
      <c r="D70" s="5" t="inlineStr">
        <is>
          <t>PB-23</t>
        </is>
      </c>
      <c r="E70" s="5" t="inlineStr">
        <is>
          <t>RQ-06</t>
        </is>
      </c>
      <c r="F70" s="5" t="n">
        <v>4</v>
      </c>
      <c r="G70" s="5" t="n">
        <v>4</v>
      </c>
      <c r="H70" s="4" t="inlineStr">
        <is>
          <t>DEV1</t>
        </is>
      </c>
      <c r="I70" s="4" t="inlineStr">
        <is>
          <t>To Do</t>
        </is>
      </c>
    </row>
    <row r="71">
      <c r="A71" s="4" t="inlineStr">
        <is>
          <t>T-66</t>
        </is>
      </c>
      <c r="B71" s="4" t="inlineStr">
        <is>
          <t>Tab Địa chỉ trong Khách hàng</t>
        </is>
      </c>
      <c r="C71" s="4" t="inlineStr">
        <is>
          <t>Chọn khách -&gt; CRUD địa chỉ</t>
        </is>
      </c>
      <c r="D71" s="5" t="inlineStr">
        <is>
          <t>PB-23</t>
        </is>
      </c>
      <c r="E71" s="5" t="inlineStr">
        <is>
          <t>RQ-06</t>
        </is>
      </c>
      <c r="F71" s="5" t="n">
        <v>4</v>
      </c>
      <c r="G71" s="5" t="n">
        <v>4</v>
      </c>
      <c r="H71" s="4" t="inlineStr">
        <is>
          <t>DEV2</t>
        </is>
      </c>
      <c r="I71" s="4" t="inlineStr">
        <is>
          <t>To Do</t>
        </is>
      </c>
    </row>
    <row r="72">
      <c r="A72" s="6" t="inlineStr">
        <is>
          <t>Sprint 5: Cửa hàng online: trang chủ, chi tiết, giỏ hàng, đặt hàng COD, đặt trước</t>
        </is>
      </c>
      <c r="B72" s="7" t="n"/>
      <c r="C72" s="7" t="n"/>
      <c r="D72" s="7" t="n"/>
      <c r="E72" s="7" t="n"/>
      <c r="F72" s="7" t="n"/>
      <c r="G72" s="7" t="n"/>
      <c r="H72" s="7" t="n"/>
      <c r="I72" s="8" t="n"/>
    </row>
    <row r="73">
      <c r="A73" s="4" t="inlineStr">
        <is>
          <t>T-67</t>
        </is>
      </c>
      <c r="B73" s="4" t="inlineStr">
        <is>
          <t>API sản phẩm cho trang chủ</t>
        </is>
      </c>
      <c r="C73" s="4" t="inlineStr">
        <is>
          <t>Danh sách biến thể còn hàng + ảnh</t>
        </is>
      </c>
      <c r="D73" s="5" t="inlineStr">
        <is>
          <t>PB-24</t>
        </is>
      </c>
      <c r="E73" s="5" t="inlineStr">
        <is>
          <t>RQ-07</t>
        </is>
      </c>
      <c r="F73" s="5" t="n">
        <v>5</v>
      </c>
      <c r="G73" s="5" t="n">
        <v>3</v>
      </c>
      <c r="H73" s="4" t="inlineStr">
        <is>
          <t>DEV1</t>
        </is>
      </c>
      <c r="I73" s="4" t="inlineStr">
        <is>
          <t>To Do</t>
        </is>
      </c>
    </row>
    <row r="74">
      <c r="A74" s="4" t="inlineStr">
        <is>
          <t>T-68</t>
        </is>
      </c>
      <c r="B74" s="4" t="inlineStr">
        <is>
          <t>Trang chủ cửa hàng</t>
        </is>
      </c>
      <c r="C74" s="4" t="inlineStr">
        <is>
          <t>Hero, danh mục, lưới sản phẩm, sắp xếp</t>
        </is>
      </c>
      <c r="D74" s="5" t="inlineStr">
        <is>
          <t>PB-24</t>
        </is>
      </c>
      <c r="E74" s="5" t="inlineStr">
        <is>
          <t>RQ-07</t>
        </is>
      </c>
      <c r="F74" s="5" t="n">
        <v>5</v>
      </c>
      <c r="G74" s="5" t="n">
        <v>6</v>
      </c>
      <c r="H74" s="4" t="inlineStr">
        <is>
          <t>DEV2</t>
        </is>
      </c>
      <c r="I74" s="4" t="inlineStr">
        <is>
          <t>To Do</t>
        </is>
      </c>
    </row>
    <row r="75">
      <c r="A75" s="4" t="inlineStr">
        <is>
          <t>T-69</t>
        </is>
      </c>
      <c r="B75" s="4" t="inlineStr">
        <is>
          <t>API /san-pham-chi-tiet/store</t>
        </is>
      </c>
      <c r="C75" s="4" t="inlineStr">
        <is>
          <t>Catalogue giữ cả SP hết hàng cho trang chủ</t>
        </is>
      </c>
      <c r="D75" s="5" t="inlineStr">
        <is>
          <t>PB-25</t>
        </is>
      </c>
      <c r="E75" s="5" t="inlineStr">
        <is>
          <t>RQ-07</t>
        </is>
      </c>
      <c r="F75" s="5" t="n">
        <v>5</v>
      </c>
      <c r="G75" s="5" t="n">
        <v>2</v>
      </c>
      <c r="H75" s="4" t="inlineStr">
        <is>
          <t>DEV1</t>
        </is>
      </c>
      <c r="I75" s="4" t="inlineStr">
        <is>
          <t>To Do</t>
        </is>
      </c>
    </row>
    <row r="76">
      <c r="A76" s="4" t="inlineStr">
        <is>
          <t>T-70</t>
        </is>
      </c>
      <c r="B76" s="4" t="inlineStr">
        <is>
          <t>Composable useCart</t>
        </is>
      </c>
      <c r="C76" s="4" t="inlineStr">
        <is>
          <t>Giỏ ở localStorage, cộng/trừ/xóa, chặn vượt tồn</t>
        </is>
      </c>
      <c r="D76" s="5" t="inlineStr">
        <is>
          <t>PB-25</t>
        </is>
      </c>
      <c r="E76" s="5" t="inlineStr">
        <is>
          <t>RQ-07</t>
        </is>
      </c>
      <c r="F76" s="5" t="n">
        <v>5</v>
      </c>
      <c r="G76" s="5" t="n">
        <v>3</v>
      </c>
      <c r="H76" s="4" t="inlineStr">
        <is>
          <t>DEV2</t>
        </is>
      </c>
      <c r="I76" s="4" t="inlineStr">
        <is>
          <t>To Do</t>
        </is>
      </c>
    </row>
    <row r="77">
      <c r="A77" s="4" t="inlineStr">
        <is>
          <t>T-71</t>
        </is>
      </c>
      <c r="B77" s="4" t="inlineStr">
        <is>
          <t>Nút Thêm vào giỏ ở trang chủ</t>
        </is>
      </c>
      <c r="C77" s="4" t="inlineStr">
        <is>
          <t>Gắn giỏ thật, badge số lượng trên header</t>
        </is>
      </c>
      <c r="D77" s="5" t="inlineStr">
        <is>
          <t>PB-25</t>
        </is>
      </c>
      <c r="E77" s="5" t="inlineStr">
        <is>
          <t>RQ-07</t>
        </is>
      </c>
      <c r="F77" s="5" t="n">
        <v>5</v>
      </c>
      <c r="G77" s="5" t="n">
        <v>2</v>
      </c>
      <c r="H77" s="4" t="inlineStr">
        <is>
          <t>DEV2</t>
        </is>
      </c>
      <c r="I77" s="4" t="inlineStr">
        <is>
          <t>To Do</t>
        </is>
      </c>
    </row>
    <row r="78">
      <c r="A78" s="4" t="inlineStr">
        <is>
          <t>T-72</t>
        </is>
      </c>
      <c r="B78" s="4" t="inlineStr">
        <is>
          <t>API POST /gio-hang/checkout</t>
        </is>
      </c>
      <c r="C78" s="4" t="inlineStr">
        <is>
          <t>Tạo đơn Chờ giao, COD, trừ kho nguyên tử từng dòng</t>
        </is>
      </c>
      <c r="D78" s="5" t="inlineStr">
        <is>
          <t>PB-26</t>
        </is>
      </c>
      <c r="E78" s="5" t="inlineStr">
        <is>
          <t>RQ-07</t>
        </is>
      </c>
      <c r="F78" s="5" t="n">
        <v>5</v>
      </c>
      <c r="G78" s="5" t="n">
        <v>5</v>
      </c>
      <c r="H78" s="4" t="inlineStr">
        <is>
          <t>DEV1</t>
        </is>
      </c>
      <c r="I78" s="4" t="inlineStr">
        <is>
          <t>To Do</t>
        </is>
      </c>
    </row>
    <row r="79">
      <c r="A79" s="4" t="inlineStr">
        <is>
          <t>T-73</t>
        </is>
      </c>
      <c r="B79" s="4" t="inlineStr">
        <is>
          <t>Màn giỏ hàng + form nhận hàng</t>
        </is>
      </c>
      <c r="C79" s="4" t="inlineStr">
        <is>
          <t>Bảng dòng hàng, sửa SL, form tên/SĐT/địa chỉ</t>
        </is>
      </c>
      <c r="D79" s="5" t="inlineStr">
        <is>
          <t>PB-26</t>
        </is>
      </c>
      <c r="E79" s="5" t="inlineStr">
        <is>
          <t>RQ-07</t>
        </is>
      </c>
      <c r="F79" s="5" t="n">
        <v>5</v>
      </c>
      <c r="G79" s="5" t="n">
        <v>5</v>
      </c>
      <c r="H79" s="4" t="inlineStr">
        <is>
          <t>DEV2</t>
        </is>
      </c>
      <c r="I79" s="4" t="inlineStr">
        <is>
          <t>To Do</t>
        </is>
      </c>
    </row>
    <row r="80">
      <c r="A80" s="4" t="inlineStr">
        <is>
          <t>T-74</t>
        </is>
      </c>
      <c r="B80" s="4" t="inlineStr">
        <is>
          <t>Test đặt hàng online</t>
        </is>
      </c>
      <c r="C80" s="4" t="inlineStr">
        <is>
          <t>Đủ hàng / thiếu hàng / thiếu thông tin</t>
        </is>
      </c>
      <c r="D80" s="5" t="inlineStr">
        <is>
          <t>PB-26</t>
        </is>
      </c>
      <c r="E80" s="5" t="inlineStr">
        <is>
          <t>RQ-07</t>
        </is>
      </c>
      <c r="F80" s="5" t="n">
        <v>5</v>
      </c>
      <c r="G80" s="5" t="n">
        <v>3</v>
      </c>
      <c r="H80" s="4" t="inlineStr">
        <is>
          <t>QC</t>
        </is>
      </c>
      <c r="I80" s="4" t="inlineStr">
        <is>
          <t>To Do</t>
        </is>
      </c>
    </row>
    <row r="81">
      <c r="A81" s="4" t="inlineStr">
        <is>
          <t>T-75</t>
        </is>
      </c>
      <c r="B81" s="4" t="inlineStr">
        <is>
          <t>API GET /gio-hang/don-hang</t>
        </is>
      </c>
      <c r="C81" s="4" t="inlineStr">
        <is>
          <t>Tra đơn theo SĐT, bỏ hóa đơn nháp tại quầy</t>
        </is>
      </c>
      <c r="D81" s="5" t="inlineStr">
        <is>
          <t>PB-27</t>
        </is>
      </c>
      <c r="E81" s="5" t="inlineStr">
        <is>
          <t>RQ-07</t>
        </is>
      </c>
      <c r="F81" s="5" t="n">
        <v>5</v>
      </c>
      <c r="G81" s="5" t="n">
        <v>2</v>
      </c>
      <c r="H81" s="4" t="inlineStr">
        <is>
          <t>DEV1</t>
        </is>
      </c>
      <c r="I81" s="4" t="inlineStr">
        <is>
          <t>To Do</t>
        </is>
      </c>
    </row>
    <row r="82">
      <c r="A82" s="4" t="inlineStr">
        <is>
          <t>T-76</t>
        </is>
      </c>
      <c r="B82" s="4" t="inlineStr">
        <is>
          <t>API PUT /gio-hang/nhan-hang/{id}</t>
        </is>
      </c>
      <c r="C82" s="4" t="inlineStr">
        <is>
          <t>Dùng lại daGiao: Chờ giao -&gt; Đã giao + lịch sử</t>
        </is>
      </c>
      <c r="D82" s="5" t="inlineStr">
        <is>
          <t>PB-27</t>
        </is>
      </c>
      <c r="E82" s="5" t="inlineStr">
        <is>
          <t>RQ-07</t>
        </is>
      </c>
      <c r="F82" s="5" t="n">
        <v>5</v>
      </c>
      <c r="G82" s="5" t="n">
        <v>1</v>
      </c>
      <c r="H82" s="4" t="inlineStr">
        <is>
          <t>DEV1</t>
        </is>
      </c>
      <c r="I82" s="4" t="inlineStr">
        <is>
          <t>To Do</t>
        </is>
      </c>
    </row>
    <row r="83">
      <c r="A83" s="4" t="inlineStr">
        <is>
          <t>T-77</t>
        </is>
      </c>
      <c r="B83" s="4" t="inlineStr">
        <is>
          <t>Tab Đơn của tôi</t>
        </is>
      </c>
      <c r="C83" s="4" t="inlineStr">
        <is>
          <t>Tra theo SĐT, danh sách + nút Đã nhận hàng</t>
        </is>
      </c>
      <c r="D83" s="5" t="inlineStr">
        <is>
          <t>PB-27</t>
        </is>
      </c>
      <c r="E83" s="5" t="inlineStr">
        <is>
          <t>RQ-07</t>
        </is>
      </c>
      <c r="F83" s="5" t="n">
        <v>5</v>
      </c>
      <c r="G83" s="5" t="n">
        <v>4</v>
      </c>
      <c r="H83" s="4" t="inlineStr">
        <is>
          <t>DEV2</t>
        </is>
      </c>
      <c r="I83" s="4" t="inlineStr">
        <is>
          <t>To Do</t>
        </is>
      </c>
    </row>
    <row r="84">
      <c r="A84" s="4" t="inlineStr">
        <is>
          <t>T-78</t>
        </is>
      </c>
      <c r="B84" s="4" t="inlineStr">
        <is>
          <t>Bảng dat_truoc + entity/repo</t>
        </is>
      </c>
      <c r="C84" s="4" t="inlineStr">
        <is>
          <t>CSDL mới cho đặt trước</t>
        </is>
      </c>
      <c r="D84" s="5" t="inlineStr">
        <is>
          <t>PB-28</t>
        </is>
      </c>
      <c r="E84" s="5" t="inlineStr">
        <is>
          <t>RQ-07</t>
        </is>
      </c>
      <c r="F84" s="5" t="n">
        <v>5</v>
      </c>
      <c r="G84" s="5" t="n">
        <v>4</v>
      </c>
      <c r="H84" s="4" t="inlineStr">
        <is>
          <t>DEV1</t>
        </is>
      </c>
      <c r="I84" s="4" t="inlineStr">
        <is>
          <t>To Do</t>
        </is>
      </c>
    </row>
    <row r="85">
      <c r="A85" s="4" t="inlineStr">
        <is>
          <t>T-79</t>
        </is>
      </c>
      <c r="B85" s="4" t="inlineStr">
        <is>
          <t>API POST /api/dat-truoc</t>
        </is>
      </c>
      <c r="C85" s="4" t="inlineStr">
        <is>
          <t>Chỉ cho đăng ký khi tồn = 0, sinh mã phiếu</t>
        </is>
      </c>
      <c r="D85" s="5" t="inlineStr">
        <is>
          <t>PB-28</t>
        </is>
      </c>
      <c r="E85" s="5" t="inlineStr">
        <is>
          <t>RQ-07</t>
        </is>
      </c>
      <c r="F85" s="5" t="n">
        <v>5</v>
      </c>
      <c r="G85" s="5" t="n">
        <v>3</v>
      </c>
      <c r="H85" s="4" t="inlineStr">
        <is>
          <t>DEV1</t>
        </is>
      </c>
      <c r="I85" s="4" t="inlineStr">
        <is>
          <t>To Do</t>
        </is>
      </c>
    </row>
    <row r="86">
      <c r="A86" s="4" t="inlineStr">
        <is>
          <t>T-80</t>
        </is>
      </c>
      <c r="B86" s="4" t="inlineStr">
        <is>
          <t>Nút + modal Đặt trước ở trang chủ</t>
        </is>
      </c>
      <c r="C86" s="4" t="inlineStr">
        <is>
          <t>SP hết hàng: ảnh xám, form đăng ký, số người chờ</t>
        </is>
      </c>
      <c r="D86" s="5" t="inlineStr">
        <is>
          <t>PB-28</t>
        </is>
      </c>
      <c r="E86" s="5" t="inlineStr">
        <is>
          <t>RQ-07</t>
        </is>
      </c>
      <c r="F86" s="5" t="n">
        <v>5</v>
      </c>
      <c r="G86" s="5" t="n">
        <v>4</v>
      </c>
      <c r="H86" s="4" t="inlineStr">
        <is>
          <t>DEV2</t>
        </is>
      </c>
      <c r="I86" s="4" t="inlineStr">
        <is>
          <t>To Do</t>
        </is>
      </c>
    </row>
    <row r="87">
      <c r="A87" s="4" t="inlineStr">
        <is>
          <t>T-81</t>
        </is>
      </c>
      <c r="B87" s="4" t="inlineStr">
        <is>
          <t>API trạng thái + chuyển đơn</t>
        </is>
      </c>
      <c r="C87" s="4" t="inlineStr">
        <is>
          <t>PUT trạng thái, POST chuyển phiếu thành hóa đơn giữ hàng</t>
        </is>
      </c>
      <c r="D87" s="5" t="inlineStr">
        <is>
          <t>PB-29</t>
        </is>
      </c>
      <c r="E87" s="5" t="inlineStr">
        <is>
          <t>RQ-07</t>
        </is>
      </c>
      <c r="F87" s="5" t="n">
        <v>5</v>
      </c>
      <c r="G87" s="5" t="n">
        <v>4</v>
      </c>
      <c r="H87" s="4" t="inlineStr">
        <is>
          <t>DEV1</t>
        </is>
      </c>
      <c r="I87" s="4" t="inlineStr">
        <is>
          <t>To Do</t>
        </is>
      </c>
    </row>
    <row r="88">
      <c r="A88" s="4" t="inlineStr">
        <is>
          <t>T-82</t>
        </is>
      </c>
      <c r="B88" s="4" t="inlineStr">
        <is>
          <t>Màn quản lý đặt trước</t>
        </is>
      </c>
      <c r="C88" s="4" t="inlineStr">
        <is>
          <t>4 tab trạng thái + panel chi tiết + chuyển đơn</t>
        </is>
      </c>
      <c r="D88" s="5" t="inlineStr">
        <is>
          <t>PB-29</t>
        </is>
      </c>
      <c r="E88" s="5" t="inlineStr">
        <is>
          <t>RQ-07</t>
        </is>
      </c>
      <c r="F88" s="5" t="n">
        <v>5</v>
      </c>
      <c r="G88" s="5" t="n">
        <v>5</v>
      </c>
      <c r="H88" s="4" t="inlineStr">
        <is>
          <t>DEV2</t>
        </is>
      </c>
      <c r="I88" s="4" t="inlineStr">
        <is>
          <t>To Do</t>
        </is>
      </c>
    </row>
    <row r="89">
      <c r="A89" s="4" t="inlineStr">
        <is>
          <t>T-83</t>
        </is>
      </c>
      <c r="B89" s="4" t="inlineStr">
        <is>
          <t>Test luồng đặt trước</t>
        </is>
      </c>
      <c r="C89" s="4" t="inlineStr">
        <is>
          <t>Đặt -&gt; có hàng -&gt; chuyển đơn -&gt; trừ kho</t>
        </is>
      </c>
      <c r="D89" s="5" t="inlineStr">
        <is>
          <t>PB-29</t>
        </is>
      </c>
      <c r="E89" s="5" t="inlineStr">
        <is>
          <t>RQ-07</t>
        </is>
      </c>
      <c r="F89" s="5" t="n">
        <v>5</v>
      </c>
      <c r="G89" s="5" t="n">
        <v>3</v>
      </c>
      <c r="H89" s="4" t="inlineStr">
        <is>
          <t>QC</t>
        </is>
      </c>
      <c r="I89" s="4" t="inlineStr">
        <is>
          <t>To Do</t>
        </is>
      </c>
    </row>
    <row r="90">
      <c r="A90" s="4" t="inlineStr">
        <is>
          <t>T-84</t>
        </is>
      </c>
      <c r="B90" s="4" t="inlineStr">
        <is>
          <t>Thêm idSanPham vào API cửa hàng</t>
        </is>
      </c>
      <c r="C90" s="4" t="inlineStr">
        <is>
          <t>Card ngoài trang chủ mới biết mở trang chi tiết nào</t>
        </is>
      </c>
      <c r="D90" s="5" t="inlineStr">
        <is>
          <t>PB-30</t>
        </is>
      </c>
      <c r="E90" s="5" t="inlineStr">
        <is>
          <t>RQ-07</t>
        </is>
      </c>
      <c r="F90" s="5" t="n">
        <v>5</v>
      </c>
      <c r="G90" s="5" t="n">
        <v>1</v>
      </c>
      <c r="H90" s="4" t="inlineStr">
        <is>
          <t>DEV1</t>
        </is>
      </c>
      <c r="I90" s="4" t="inlineStr">
        <is>
          <t>To Do</t>
        </is>
      </c>
    </row>
    <row r="91">
      <c r="A91" s="4" t="inlineStr">
        <is>
          <t>T-85</t>
        </is>
      </c>
      <c r="B91" s="4" t="inlineStr">
        <is>
          <t>Trang chi tiết sản phẩm</t>
        </is>
      </c>
      <c r="C91" s="4" t="inlineStr">
        <is>
          <t>Ảnh, thông tin, chọn màu/size, mua hoặc đặt trước theo tồn của biến thể</t>
        </is>
      </c>
      <c r="D91" s="5" t="inlineStr">
        <is>
          <t>PB-30</t>
        </is>
      </c>
      <c r="E91" s="5" t="inlineStr">
        <is>
          <t>RQ-07</t>
        </is>
      </c>
      <c r="F91" s="5" t="n">
        <v>5</v>
      </c>
      <c r="G91" s="5" t="n">
        <v>6</v>
      </c>
      <c r="H91" s="4" t="inlineStr">
        <is>
          <t>DEV2</t>
        </is>
      </c>
      <c r="I91" s="4" t="inlineStr">
        <is>
          <t>To Do</t>
        </is>
      </c>
    </row>
    <row r="92">
      <c r="A92" s="4" t="inlineStr">
        <is>
          <t>T-86</t>
        </is>
      </c>
      <c r="B92" s="4" t="inlineStr">
        <is>
          <t>Tách modal đặt trước dùng chung</t>
        </is>
      </c>
      <c r="C92" s="4" t="inlineStr">
        <is>
          <t>Dùng lại cho cả trang chủ và trang chi tiết</t>
        </is>
      </c>
      <c r="D92" s="5" t="inlineStr">
        <is>
          <t>PB-30</t>
        </is>
      </c>
      <c r="E92" s="5" t="inlineStr">
        <is>
          <t>RQ-07</t>
        </is>
      </c>
      <c r="F92" s="5" t="n">
        <v>5</v>
      </c>
      <c r="G92" s="5" t="n">
        <v>2</v>
      </c>
      <c r="H92" s="4" t="inlineStr">
        <is>
          <t>DEV2</t>
        </is>
      </c>
      <c r="I92" s="4" t="inlineStr">
        <is>
          <t>To Do</t>
        </is>
      </c>
    </row>
    <row r="93">
      <c r="A93" s="6" t="inlineStr">
        <is>
          <t>Sprint 6: Dashboard doanh thu, bảo hành và khuyến mãi</t>
        </is>
      </c>
      <c r="B93" s="7" t="n"/>
      <c r="C93" s="7" t="n"/>
      <c r="D93" s="7" t="n"/>
      <c r="E93" s="7" t="n"/>
      <c r="F93" s="7" t="n"/>
      <c r="G93" s="7" t="n"/>
      <c r="H93" s="7" t="n"/>
      <c r="I93" s="8" t="n"/>
    </row>
    <row r="94">
      <c r="A94" s="4" t="inlineStr">
        <is>
          <t>T-87</t>
        </is>
      </c>
      <c r="B94" s="4" t="inlineStr">
        <is>
          <t>Query tổng quan</t>
        </is>
      </c>
      <c r="C94" s="4" t="inlineStr">
        <is>
          <t>Doanh thu, lợi nhuận, đơn theo trạng thái</t>
        </is>
      </c>
      <c r="D94" s="5" t="inlineStr">
        <is>
          <t>PB-31</t>
        </is>
      </c>
      <c r="E94" s="5" t="inlineStr">
        <is>
          <t>RQ-08</t>
        </is>
      </c>
      <c r="F94" s="5" t="n">
        <v>6</v>
      </c>
      <c r="G94" s="5" t="n">
        <v>4</v>
      </c>
      <c r="H94" s="4" t="inlineStr">
        <is>
          <t>DEV1</t>
        </is>
      </c>
      <c r="I94" s="4" t="inlineStr">
        <is>
          <t>To Do</t>
        </is>
      </c>
    </row>
    <row r="95">
      <c r="A95" s="4" t="inlineStr">
        <is>
          <t>T-88</t>
        </is>
      </c>
      <c r="B95" s="4" t="inlineStr">
        <is>
          <t>Thẻ KPI trên dashboard</t>
        </is>
      </c>
      <c r="C95" s="4" t="inlineStr">
        <is>
          <t>6 thẻ số liệu</t>
        </is>
      </c>
      <c r="D95" s="5" t="inlineStr">
        <is>
          <t>PB-31</t>
        </is>
      </c>
      <c r="E95" s="5" t="inlineStr">
        <is>
          <t>RQ-08</t>
        </is>
      </c>
      <c r="F95" s="5" t="n">
        <v>6</v>
      </c>
      <c r="G95" s="5" t="n">
        <v>3</v>
      </c>
      <c r="H95" s="4" t="inlineStr">
        <is>
          <t>DEV2</t>
        </is>
      </c>
      <c r="I95" s="4" t="inlineStr">
        <is>
          <t>To Do</t>
        </is>
      </c>
    </row>
    <row r="96">
      <c r="A96" s="4" t="inlineStr">
        <is>
          <t>T-89</t>
        </is>
      </c>
      <c r="B96" s="4" t="inlineStr">
        <is>
          <t>Query dòng tiền theo tháng</t>
        </is>
      </c>
      <c r="C96" s="4" t="inlineStr">
        <is>
          <t>Doanh thu / giá vốn / lợi nhuận</t>
        </is>
      </c>
      <c r="D96" s="5" t="inlineStr">
        <is>
          <t>PB-32</t>
        </is>
      </c>
      <c r="E96" s="5" t="inlineStr">
        <is>
          <t>RQ-08</t>
        </is>
      </c>
      <c r="F96" s="5" t="n">
        <v>6</v>
      </c>
      <c r="G96" s="5" t="n">
        <v>5</v>
      </c>
      <c r="H96" s="4" t="inlineStr">
        <is>
          <t>DEV1</t>
        </is>
      </c>
      <c r="I96" s="4" t="inlineStr">
        <is>
          <t>To Do</t>
        </is>
      </c>
    </row>
    <row r="97">
      <c r="A97" s="4" t="inlineStr">
        <is>
          <t>T-90</t>
        </is>
      </c>
      <c r="B97" s="4" t="inlineStr">
        <is>
          <t>Biểu đồ dòng tiền + lọc năm</t>
        </is>
      </c>
      <c r="C97" s="4" t="inlineStr">
        <is>
          <t>Chart.js, chọn năm vẽ lại</t>
        </is>
      </c>
      <c r="D97" s="5" t="inlineStr">
        <is>
          <t>PB-32</t>
        </is>
      </c>
      <c r="E97" s="5" t="inlineStr">
        <is>
          <t>RQ-08</t>
        </is>
      </c>
      <c r="F97" s="5" t="n">
        <v>6</v>
      </c>
      <c r="G97" s="5" t="n">
        <v>5</v>
      </c>
      <c r="H97" s="4" t="inlineStr">
        <is>
          <t>DEV2</t>
        </is>
      </c>
      <c r="I97" s="4" t="inlineStr">
        <is>
          <t>To Do</t>
        </is>
      </c>
    </row>
    <row r="98">
      <c r="A98" s="4" t="inlineStr">
        <is>
          <t>T-91</t>
        </is>
      </c>
      <c r="B98" s="4" t="inlineStr">
        <is>
          <t>Query ROI theo sản phẩm</t>
        </is>
      </c>
      <c r="C98" s="4" t="inlineStr">
        <is>
          <t>Xếp hạng theo ROI</t>
        </is>
      </c>
      <c r="D98" s="5" t="inlineStr">
        <is>
          <t>PB-33</t>
        </is>
      </c>
      <c r="E98" s="5" t="inlineStr">
        <is>
          <t>RQ-08</t>
        </is>
      </c>
      <c r="F98" s="5" t="n">
        <v>6</v>
      </c>
      <c r="G98" s="5" t="n">
        <v>4</v>
      </c>
      <c r="H98" s="4" t="inlineStr">
        <is>
          <t>DEV1</t>
        </is>
      </c>
      <c r="I98" s="4" t="inlineStr">
        <is>
          <t>To Do</t>
        </is>
      </c>
    </row>
    <row r="99">
      <c r="A99" s="4" t="inlineStr">
        <is>
          <t>T-92</t>
        </is>
      </c>
      <c r="B99" s="4" t="inlineStr">
        <is>
          <t>Biểu đồ ROI</t>
        </is>
      </c>
      <c r="C99" s="4" t="inlineStr">
        <is>
          <t>Thanh ngang</t>
        </is>
      </c>
      <c r="D99" s="5" t="inlineStr">
        <is>
          <t>PB-33</t>
        </is>
      </c>
      <c r="E99" s="5" t="inlineStr">
        <is>
          <t>RQ-08</t>
        </is>
      </c>
      <c r="F99" s="5" t="n">
        <v>6</v>
      </c>
      <c r="G99" s="5" t="n">
        <v>3</v>
      </c>
      <c r="H99" s="4" t="inlineStr">
        <is>
          <t>DEV2</t>
        </is>
      </c>
      <c r="I99" s="4" t="inlineStr">
        <is>
          <t>To Do</t>
        </is>
      </c>
    </row>
    <row r="100">
      <c r="A100" s="4" t="inlineStr">
        <is>
          <t>T-93</t>
        </is>
      </c>
      <c r="B100" s="4" t="inlineStr">
        <is>
          <t>Query giữ chân khách</t>
        </is>
      </c>
      <c r="C100" s="4" t="inlineStr">
        <is>
          <t>Khách &gt;1 đơn vs 1 đơn</t>
        </is>
      </c>
      <c r="D100" s="5" t="inlineStr">
        <is>
          <t>PB-34</t>
        </is>
      </c>
      <c r="E100" s="5" t="inlineStr">
        <is>
          <t>RQ-08</t>
        </is>
      </c>
      <c r="F100" s="5" t="n">
        <v>6</v>
      </c>
      <c r="G100" s="5" t="n">
        <v>4</v>
      </c>
      <c r="H100" s="4" t="inlineStr">
        <is>
          <t>DEV1</t>
        </is>
      </c>
      <c r="I100" s="4" t="inlineStr">
        <is>
          <t>To Do</t>
        </is>
      </c>
    </row>
    <row r="101">
      <c r="A101" s="4" t="inlineStr">
        <is>
          <t>T-94</t>
        </is>
      </c>
      <c r="B101" s="4" t="inlineStr">
        <is>
          <t>Biểu đồ tròn giữ chân</t>
        </is>
      </c>
      <c r="C101" s="4" t="inlineStr">
        <is>
          <t>Doughnut + tỷ lệ</t>
        </is>
      </c>
      <c r="D101" s="5" t="inlineStr">
        <is>
          <t>PB-34</t>
        </is>
      </c>
      <c r="E101" s="5" t="inlineStr">
        <is>
          <t>RQ-08</t>
        </is>
      </c>
      <c r="F101" s="5" t="n">
        <v>6</v>
      </c>
      <c r="G101" s="5" t="n">
        <v>2</v>
      </c>
      <c r="H101" s="4" t="inlineStr">
        <is>
          <t>DEV2</t>
        </is>
      </c>
      <c r="I101" s="4" t="inlineStr">
        <is>
          <t>To Do</t>
        </is>
      </c>
    </row>
    <row r="102">
      <c r="A102" s="4" t="inlineStr">
        <is>
          <t>T-95</t>
        </is>
      </c>
      <c r="B102" s="4" t="inlineStr">
        <is>
          <t>Query bán chạy/chậm/xu hướng</t>
        </is>
      </c>
      <c r="C102" s="4" t="inlineStr">
        <is>
          <t>Số bán + tăng trưởng so năm trước</t>
        </is>
      </c>
      <c r="D102" s="5" t="inlineStr">
        <is>
          <t>PB-35</t>
        </is>
      </c>
      <c r="E102" s="5" t="inlineStr">
        <is>
          <t>RQ-08</t>
        </is>
      </c>
      <c r="F102" s="5" t="n">
        <v>6</v>
      </c>
      <c r="G102" s="5" t="n">
        <v>5</v>
      </c>
      <c r="H102" s="4" t="inlineStr">
        <is>
          <t>DEV1</t>
        </is>
      </c>
      <c r="I102" s="4" t="inlineStr">
        <is>
          <t>To Do</t>
        </is>
      </c>
    </row>
    <row r="103">
      <c r="A103" s="4" t="inlineStr">
        <is>
          <t>T-96</t>
        </is>
      </c>
      <c r="B103" s="4" t="inlineStr">
        <is>
          <t>3 bảng xếp hạng</t>
        </is>
      </c>
      <c r="C103" s="4" t="inlineStr">
        <is>
          <t>Bán chạy / bán chậm / xu hướng</t>
        </is>
      </c>
      <c r="D103" s="5" t="inlineStr">
        <is>
          <t>PB-35</t>
        </is>
      </c>
      <c r="E103" s="5" t="inlineStr">
        <is>
          <t>RQ-08</t>
        </is>
      </c>
      <c r="F103" s="5" t="n">
        <v>6</v>
      </c>
      <c r="G103" s="5" t="n">
        <v>4</v>
      </c>
      <c r="H103" s="4" t="inlineStr">
        <is>
          <t>DEV2</t>
        </is>
      </c>
      <c r="I103" s="4" t="inlineStr">
        <is>
          <t>To Do</t>
        </is>
      </c>
    </row>
    <row r="104">
      <c r="A104" s="4" t="inlineStr">
        <is>
          <t>T-97</t>
        </is>
      </c>
      <c r="B104" s="4" t="inlineStr">
        <is>
          <t>Xuất Excel từ dashboard</t>
        </is>
      </c>
      <c r="C104" s="4" t="inlineStr">
        <is>
          <t>Kết xuất KPI + bán chạy</t>
        </is>
      </c>
      <c r="D104" s="5" t="inlineStr">
        <is>
          <t>PB-36</t>
        </is>
      </c>
      <c r="E104" s="5" t="inlineStr">
        <is>
          <t>RQ-08</t>
        </is>
      </c>
      <c r="F104" s="5" t="n">
        <v>6</v>
      </c>
      <c r="G104" s="5" t="n">
        <v>3</v>
      </c>
      <c r="H104" s="4" t="inlineStr">
        <is>
          <t>DEV3</t>
        </is>
      </c>
      <c r="I104" s="4" t="inlineStr">
        <is>
          <t>To Do</t>
        </is>
      </c>
    </row>
    <row r="105">
      <c r="A105" s="4" t="inlineStr">
        <is>
          <t>T-98</t>
        </is>
      </c>
      <c r="B105" s="4" t="inlineStr">
        <is>
          <t>Bảng bao_hanh + entity/repo</t>
        </is>
      </c>
      <c r="C105" s="4" t="inlineStr">
        <is>
          <t>CSDL mới cho bảo hành</t>
        </is>
      </c>
      <c r="D105" s="5" t="inlineStr">
        <is>
          <t>PB-37</t>
        </is>
      </c>
      <c r="E105" s="5" t="inlineStr">
        <is>
          <t>RQ-09</t>
        </is>
      </c>
      <c r="F105" s="5" t="n">
        <v>6</v>
      </c>
      <c r="G105" s="5" t="n">
        <v>5</v>
      </c>
      <c r="H105" s="4" t="inlineStr">
        <is>
          <t>DEV1</t>
        </is>
      </c>
      <c r="I105" s="4" t="inlineStr">
        <is>
          <t>To Do</t>
        </is>
      </c>
    </row>
    <row r="106">
      <c r="A106" s="4" t="inlineStr">
        <is>
          <t>T-99</t>
        </is>
      </c>
      <c r="B106" s="4" t="inlineStr">
        <is>
          <t>API POST /api/bao-hanh</t>
        </is>
      </c>
      <c r="C106" s="4" t="inlineStr">
        <is>
          <t>Tạo phiếu bảo hành</t>
        </is>
      </c>
      <c r="D106" s="5" t="inlineStr">
        <is>
          <t>PB-37</t>
        </is>
      </c>
      <c r="E106" s="5" t="inlineStr">
        <is>
          <t>RQ-09</t>
        </is>
      </c>
      <c r="F106" s="5" t="n">
        <v>6</v>
      </c>
      <c r="G106" s="5" t="n">
        <v>3</v>
      </c>
      <c r="H106" s="4" t="inlineStr">
        <is>
          <t>DEV1</t>
        </is>
      </c>
      <c r="I106" s="4" t="inlineStr">
        <is>
          <t>To Do</t>
        </is>
      </c>
    </row>
    <row r="107">
      <c r="A107" s="4" t="inlineStr">
        <is>
          <t>T-100</t>
        </is>
      </c>
      <c r="B107" s="4" t="inlineStr">
        <is>
          <t>Form tiếp nhận bảo hành</t>
        </is>
      </c>
      <c r="C107" s="4" t="inlineStr">
        <is>
          <t>Chọn khách/sản phẩm/serial/mô tả lỗi</t>
        </is>
      </c>
      <c r="D107" s="5" t="inlineStr">
        <is>
          <t>PB-37</t>
        </is>
      </c>
      <c r="E107" s="5" t="inlineStr">
        <is>
          <t>RQ-09</t>
        </is>
      </c>
      <c r="F107" s="5" t="n">
        <v>6</v>
      </c>
      <c r="G107" s="5" t="n">
        <v>4</v>
      </c>
      <c r="H107" s="4" t="inlineStr">
        <is>
          <t>DEV2</t>
        </is>
      </c>
      <c r="I107" s="4" t="inlineStr">
        <is>
          <t>To Do</t>
        </is>
      </c>
    </row>
    <row r="108">
      <c r="A108" s="4" t="inlineStr">
        <is>
          <t>T-101</t>
        </is>
      </c>
      <c r="B108" s="4" t="inlineStr">
        <is>
          <t>API cập nhật trạng thái BH</t>
        </is>
      </c>
      <c r="C108" s="4" t="inlineStr">
        <is>
          <t>PUT /{id}/trang-thai</t>
        </is>
      </c>
      <c r="D108" s="5" t="inlineStr">
        <is>
          <t>PB-38</t>
        </is>
      </c>
      <c r="E108" s="5" t="inlineStr">
        <is>
          <t>RQ-09</t>
        </is>
      </c>
      <c r="F108" s="5" t="n">
        <v>6</v>
      </c>
      <c r="G108" s="5" t="n">
        <v>2</v>
      </c>
      <c r="H108" s="4" t="inlineStr">
        <is>
          <t>DEV1</t>
        </is>
      </c>
      <c r="I108" s="4" t="inlineStr">
        <is>
          <t>To Do</t>
        </is>
      </c>
    </row>
    <row r="109">
      <c r="A109" s="4" t="inlineStr">
        <is>
          <t>T-102</t>
        </is>
      </c>
      <c r="B109" s="4" t="inlineStr">
        <is>
          <t>Màn bảo hành master-detail</t>
        </is>
      </c>
      <c r="C109" s="4" t="inlineStr">
        <is>
          <t>Tab trạng thái + stepper + panel chi tiết</t>
        </is>
      </c>
      <c r="D109" s="5" t="inlineStr">
        <is>
          <t>PB-38</t>
        </is>
      </c>
      <c r="E109" s="5" t="inlineStr">
        <is>
          <t>RQ-09</t>
        </is>
      </c>
      <c r="F109" s="5" t="n">
        <v>6</v>
      </c>
      <c r="G109" s="5" t="n">
        <v>6</v>
      </c>
      <c r="H109" s="4" t="inlineStr">
        <is>
          <t>DEV2</t>
        </is>
      </c>
      <c r="I109" s="4" t="inlineStr">
        <is>
          <t>To Do</t>
        </is>
      </c>
    </row>
    <row r="110">
      <c r="A110" s="4" t="inlineStr">
        <is>
          <t>T-103</t>
        </is>
      </c>
      <c r="B110" s="4" t="inlineStr">
        <is>
          <t>Test luồng bảo hành</t>
        </is>
      </c>
      <c r="C110" s="4" t="inlineStr">
        <is>
          <t>Đủ 6 trạng thái</t>
        </is>
      </c>
      <c r="D110" s="5" t="inlineStr">
        <is>
          <t>PB-38</t>
        </is>
      </c>
      <c r="E110" s="5" t="inlineStr">
        <is>
          <t>RQ-09</t>
        </is>
      </c>
      <c r="F110" s="5" t="n">
        <v>6</v>
      </c>
      <c r="G110" s="5" t="n">
        <v>3</v>
      </c>
      <c r="H110" s="4" t="inlineStr">
        <is>
          <t>QC</t>
        </is>
      </c>
      <c r="I110" s="4" t="inlineStr">
        <is>
          <t>To Do</t>
        </is>
      </c>
    </row>
    <row r="111">
      <c r="A111" s="4" t="inlineStr">
        <is>
          <t>T-104</t>
        </is>
      </c>
      <c r="B111" s="4" t="inlineStr">
        <is>
          <t>Mẫu in phiếu bảo hành</t>
        </is>
      </c>
      <c r="C111" s="4" t="inlineStr">
        <is>
          <t>Kết xuất phiếu</t>
        </is>
      </c>
      <c r="D111" s="5" t="inlineStr">
        <is>
          <t>PB-39</t>
        </is>
      </c>
      <c r="E111" s="5" t="inlineStr">
        <is>
          <t>RQ-09</t>
        </is>
      </c>
      <c r="F111" s="5" t="n">
        <v>6</v>
      </c>
      <c r="G111" s="5" t="n">
        <v>2</v>
      </c>
      <c r="H111" s="4" t="inlineStr">
        <is>
          <t>DEV2</t>
        </is>
      </c>
      <c r="I111" s="4" t="inlineStr">
        <is>
          <t>To Do</t>
        </is>
      </c>
    </row>
    <row r="112">
      <c r="A112" s="4" t="inlineStr">
        <is>
          <t>T-105</t>
        </is>
      </c>
      <c r="B112" s="4" t="inlineStr">
        <is>
          <t>API phiếu giảm giá CRUD</t>
        </is>
      </c>
      <c r="C112" s="4" t="inlineStr">
        <is>
          <t>Thêm/sửa/xóa/tìm + view phiếu hiệu lực</t>
        </is>
      </c>
      <c r="D112" s="5" t="inlineStr">
        <is>
          <t>PB-40</t>
        </is>
      </c>
      <c r="E112" s="5" t="inlineStr">
        <is>
          <t>RQ-09</t>
        </is>
      </c>
      <c r="F112" s="5" t="n">
        <v>6</v>
      </c>
      <c r="G112" s="5" t="n">
        <v>4</v>
      </c>
      <c r="H112" s="4" t="inlineStr">
        <is>
          <t>DEV1</t>
        </is>
      </c>
      <c r="I112" s="4" t="inlineStr">
        <is>
          <t>To Do</t>
        </is>
      </c>
    </row>
    <row r="113">
      <c r="A113" s="4" t="inlineStr">
        <is>
          <t>T-106</t>
        </is>
      </c>
      <c r="B113" s="4" t="inlineStr">
        <is>
          <t>Màn khuyến mãi</t>
        </is>
      </c>
      <c r="C113" s="4" t="inlineStr">
        <is>
          <t>Bảng + form điều kiện/thời hạn</t>
        </is>
      </c>
      <c r="D113" s="5" t="inlineStr">
        <is>
          <t>PB-40</t>
        </is>
      </c>
      <c r="E113" s="5" t="inlineStr">
        <is>
          <t>RQ-09</t>
        </is>
      </c>
      <c r="F113" s="5" t="n">
        <v>6</v>
      </c>
      <c r="G113" s="5" t="n">
        <v>4</v>
      </c>
      <c r="H113" s="4" t="inlineStr">
        <is>
          <t>DEV2</t>
        </is>
      </c>
      <c r="I113" s="4" t="inlineStr">
        <is>
          <t>To Do</t>
        </is>
      </c>
    </row>
    <row r="114">
      <c r="C114" s="2" t="inlineStr">
        <is>
          <t>TỔNG GIỜ</t>
        </is>
      </c>
      <c r="G114" s="2">
        <f>SUM(G2:G113)</f>
        <v/>
      </c>
    </row>
  </sheetData>
  <mergeCells count="6">
    <mergeCell ref="A2:I2"/>
    <mergeCell ref="A37:I37"/>
    <mergeCell ref="A93:I93"/>
    <mergeCell ref="A61:I61"/>
    <mergeCell ref="A22:I22"/>
    <mergeCell ref="A72:I7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4" customWidth="1" min="3" max="3"/>
    <col width="13" customWidth="1" min="4" max="4"/>
    <col width="58" customWidth="1" min="5" max="5"/>
  </cols>
  <sheetData>
    <row r="1">
      <c r="A1" s="1" t="inlineStr">
        <is>
          <t>ED: Đánh giá môi trường (Environment Degree)</t>
        </is>
      </c>
    </row>
    <row r="2">
      <c r="A2" t="inlineStr">
        <is>
          <t>Mỗi yếu tố chấm 0 hoặc 2 (2 = thuận lợi cho nhóm). Tổng tối đa = 18 yếu tố × 2 = 36.</t>
        </is>
      </c>
    </row>
    <row r="4">
      <c r="A4" s="3" t="inlineStr">
        <is>
          <t>Khía cạnh</t>
        </is>
      </c>
      <c r="B4" s="3" t="inlineStr">
        <is>
          <t>Yếu tố</t>
        </is>
      </c>
      <c r="C4" s="3" t="inlineStr">
        <is>
          <t>Khoảng giá trị</t>
        </is>
      </c>
      <c r="D4" s="3" t="inlineStr">
        <is>
          <t>Giá trị (0/2)</t>
        </is>
      </c>
      <c r="E4" s="3" t="inlineStr">
        <is>
          <t>Lý do chấm điểm của nhóm</t>
        </is>
      </c>
    </row>
    <row r="5">
      <c r="A5" s="4" t="inlineStr">
        <is>
          <t>Khía cạnh tổ chức</t>
        </is>
      </c>
      <c r="B5" s="4" t="inlineStr">
        <is>
          <t>Đã có những phòng ban khác nhau cùng làm việc thành công trong một dự án Scrum?</t>
        </is>
      </c>
      <c r="C5" s="5" t="inlineStr">
        <is>
          <t>0 / 2</t>
        </is>
      </c>
      <c r="D5" s="5" t="n">
        <v>0</v>
      </c>
      <c r="E5" s="4" t="inlineStr">
        <is>
          <t>Nhóm môn học, chưa có nhiều phòng ban cùng làm Scrum</t>
        </is>
      </c>
    </row>
    <row r="6">
      <c r="A6" s="4" t="inlineStr">
        <is>
          <t>Khía cạnh tổ chức</t>
        </is>
      </c>
      <c r="B6" s="4" t="inlineStr">
        <is>
          <t>Có sự chống đối mạnh mẽ với Scrum trong tổ chức?</t>
        </is>
      </c>
      <c r="C6" s="5" t="inlineStr">
        <is>
          <t>0 / 2</t>
        </is>
      </c>
      <c r="D6" s="9" t="n">
        <v>2</v>
      </c>
      <c r="E6" s="4" t="inlineStr">
        <is>
          <t>Không có chống đối, cả nhóm hợp tác tích cực</t>
        </is>
      </c>
    </row>
    <row r="7">
      <c r="A7" s="4" t="inlineStr">
        <is>
          <t>Khía cạnh tổ chức</t>
        </is>
      </c>
      <c r="B7" s="4" t="inlineStr">
        <is>
          <t>Có tồn tại sự hỗ trợ lớn về Scrum giữa những phòng ban khác nhau trong công ty?</t>
        </is>
      </c>
      <c r="C7" s="5" t="inlineStr">
        <is>
          <t>0 / 2</t>
        </is>
      </c>
      <c r="D7" s="5" t="n">
        <v>0</v>
      </c>
      <c r="E7" s="4" t="inlineStr">
        <is>
          <t>Chưa có cơ chế hỗ trợ liên phòng ban</t>
        </is>
      </c>
    </row>
    <row r="8">
      <c r="A8" s="4" t="inlineStr">
        <is>
          <t>Khía cạnh hạ tầng phát triển</t>
        </is>
      </c>
      <c r="B8" s="4" t="inlineStr">
        <is>
          <t>Kiểm thử tự động đã được áp dụng và trở thành kỹ thuật phổ biến?</t>
        </is>
      </c>
      <c r="C8" s="5" t="inlineStr">
        <is>
          <t>0 / 2</t>
        </is>
      </c>
      <c r="D8" s="5" t="n">
        <v>0</v>
      </c>
      <c r="E8" s="4" t="inlineStr">
        <is>
          <t>Dự án chưa có bộ test tự động</t>
        </is>
      </c>
    </row>
    <row r="9">
      <c r="A9" s="4" t="inlineStr">
        <is>
          <t>Khía cạnh hạ tầng phát triển</t>
        </is>
      </c>
      <c r="B9" s="4" t="inlineStr">
        <is>
          <t>Kiểm thử tích hợp liên tục (CI) đã phổ biến?</t>
        </is>
      </c>
      <c r="C9" s="5" t="inlineStr">
        <is>
          <t>0 / 2</t>
        </is>
      </c>
      <c r="D9" s="5" t="n">
        <v>0</v>
      </c>
      <c r="E9" s="4" t="inlineStr">
        <is>
          <t>Chưa dựng pipeline CI</t>
        </is>
      </c>
    </row>
    <row r="10">
      <c r="A10" s="4" t="inlineStr">
        <is>
          <t>Khía cạnh hạ tầng phát triển</t>
        </is>
      </c>
      <c r="B10" s="4" t="inlineStr">
        <is>
          <t>Môi trường build hàng ngày đã phổ biến?</t>
        </is>
      </c>
      <c r="C10" s="5" t="inlineStr">
        <is>
          <t>0 / 2</t>
        </is>
      </c>
      <c r="D10" s="9" t="n">
        <v>2</v>
      </c>
      <c r="E10" s="4" t="inlineStr">
        <is>
          <t>Build mvn/npm chạy được hằng ngày, đã kiểm chứng</t>
        </is>
      </c>
    </row>
    <row r="11">
      <c r="A11" s="4" t="inlineStr">
        <is>
          <t>Khía cạnh nhóm</t>
        </is>
      </c>
      <c r="B11" s="4" t="inlineStr">
        <is>
          <t>Scrum là hoàn toàn mới đối với nhóm?</t>
        </is>
      </c>
      <c r="C11" s="5" t="inlineStr">
        <is>
          <t>0 / 2</t>
        </is>
      </c>
      <c r="D11" s="5" t="n">
        <v>0</v>
      </c>
      <c r="E11" s="4" t="inlineStr">
        <is>
          <t>Scrum còn khá mới với nhóm</t>
        </is>
      </c>
    </row>
    <row r="12">
      <c r="A12" s="4" t="inlineStr">
        <is>
          <t>Khía cạnh nhóm</t>
        </is>
      </c>
      <c r="B12" s="4" t="inlineStr">
        <is>
          <t>Các thành viên trong nhóm đã từng làm việc thành công với nhau?</t>
        </is>
      </c>
      <c r="C12" s="5" t="inlineStr">
        <is>
          <t>0 / 2</t>
        </is>
      </c>
      <c r="D12" s="9" t="n">
        <v>2</v>
      </c>
      <c r="E12" s="4" t="inlineStr">
        <is>
          <t>Nhóm đã từng hợp tác ở dự án trước</t>
        </is>
      </c>
    </row>
    <row r="13">
      <c r="A13" s="4" t="inlineStr">
        <is>
          <t>Khía cạnh nhóm</t>
        </is>
      </c>
      <c r="B13" s="4" t="inlineStr">
        <is>
          <t>Các thành viên trong nhóm hiểu và tôn trọng lẫn nhau?</t>
        </is>
      </c>
      <c r="C13" s="5" t="inlineStr">
        <is>
          <t>0 / 2</t>
        </is>
      </c>
      <c r="D13" s="9" t="n">
        <v>2</v>
      </c>
      <c r="E13" s="4" t="inlineStr">
        <is>
          <t>Tinh thần hợp tác tích cực</t>
        </is>
      </c>
    </row>
    <row r="14">
      <c r="A14" s="4" t="inlineStr">
        <is>
          <t>Khía cạnh công nghệ</t>
        </is>
      </c>
      <c r="B14" s="4" t="inlineStr">
        <is>
          <t>Nhóm phát triển có nhiều kinh nghiệm với ngôn ngữ lập trình?</t>
        </is>
      </c>
      <c r="C14" s="5" t="inlineStr">
        <is>
          <t>0 / 2</t>
        </is>
      </c>
      <c r="D14" s="5" t="n">
        <v>0</v>
      </c>
      <c r="E14" s="4" t="inlineStr">
        <is>
          <t>Trình độ IT của nhóm còn hạn chế</t>
        </is>
      </c>
    </row>
    <row r="15">
      <c r="A15" s="4" t="inlineStr">
        <is>
          <t>Khía cạnh công nghệ</t>
        </is>
      </c>
      <c r="B15" s="4" t="inlineStr">
        <is>
          <t>Thành viên có nhiều kinh nghiệm với công nghệ được dùng (Spring Boot/Vue/SQL Server)?</t>
        </is>
      </c>
      <c r="C15" s="5" t="inlineStr">
        <is>
          <t>0 / 2</t>
        </is>
      </c>
      <c r="D15" s="5" t="n">
        <v>0</v>
      </c>
      <c r="E15" s="4" t="inlineStr">
        <is>
          <t>Công nghệ mới với phần lớn thành viên</t>
        </is>
      </c>
    </row>
    <row r="16">
      <c r="A16" s="4" t="inlineStr">
        <is>
          <t>Khía cạnh công nghệ</t>
        </is>
      </c>
      <c r="B16" s="4" t="inlineStr">
        <is>
          <t>Môi trường sản xuất với Scrum đã sẵn sàng chưa?</t>
        </is>
      </c>
      <c r="C16" s="5" t="inlineStr">
        <is>
          <t>0 / 2</t>
        </is>
      </c>
      <c r="D16" s="5" t="n">
        <v>0</v>
      </c>
      <c r="E16" s="4" t="inlineStr">
        <is>
          <t>Chưa có môi trường production/CSDL ổn định</t>
        </is>
      </c>
    </row>
    <row r="17">
      <c r="A17" s="4" t="inlineStr">
        <is>
          <t>Khía cạnh qui trình</t>
        </is>
      </c>
      <c r="B17" s="4" t="inlineStr">
        <is>
          <t>Scrum có phải là khung làm việc được chấp thuận trong công ty?</t>
        </is>
      </c>
      <c r="C17" s="5" t="inlineStr">
        <is>
          <t>0 / 2</t>
        </is>
      </c>
      <c r="D17" s="9" t="n">
        <v>2</v>
      </c>
      <c r="E17" s="4" t="inlineStr">
        <is>
          <t>Scrum là khung bắt buộc của dự án môn học</t>
        </is>
      </c>
    </row>
    <row r="18">
      <c r="A18" s="4" t="inlineStr">
        <is>
          <t>Khía cạnh qui trình</t>
        </is>
      </c>
      <c r="B18" s="4" t="inlineStr">
        <is>
          <t>Trong công ty có sự hỗ trợ tốt cho Scrum?</t>
        </is>
      </c>
      <c r="C18" s="5" t="inlineStr">
        <is>
          <t>0 / 2</t>
        </is>
      </c>
      <c r="D18" s="9" t="n">
        <v>2</v>
      </c>
      <c r="E18" s="4" t="inlineStr">
        <is>
          <t>Giảng viên/PO hướng dẫn sát</t>
        </is>
      </c>
    </row>
    <row r="19">
      <c r="A19" s="4" t="inlineStr">
        <is>
          <t>Khía cạnh qui trình</t>
        </is>
      </c>
      <c r="B19" s="4" t="inlineStr">
        <is>
          <t>Trong công ty có sự phản đối đáng kể nào đối với Scrum?</t>
        </is>
      </c>
      <c r="C19" s="5" t="inlineStr">
        <is>
          <t>0 / 2</t>
        </is>
      </c>
      <c r="D19" s="9" t="n">
        <v>2</v>
      </c>
      <c r="E19" s="4" t="inlineStr">
        <is>
          <t>Không có phản đối</t>
        </is>
      </c>
    </row>
    <row r="20">
      <c r="A20" s="4" t="inlineStr">
        <is>
          <t>Khía cạnh nghiệp vụ</t>
        </is>
      </c>
      <c r="B20" s="4" t="inlineStr">
        <is>
          <t>Có một Product Owner hoàn toàn sẵn sàng và gắn bó lâu dài với nhóm?</t>
        </is>
      </c>
      <c r="C20" s="5" t="inlineStr">
        <is>
          <t>0 / 2</t>
        </is>
      </c>
      <c r="D20" s="9" t="n">
        <v>2</v>
      </c>
      <c r="E20" s="4" t="inlineStr">
        <is>
          <t>PO là thành viên nhóm, gắn bó suốt dự án</t>
        </is>
      </c>
    </row>
    <row r="21">
      <c r="A21" s="4" t="inlineStr">
        <is>
          <t>Khía cạnh nghiệp vụ</t>
        </is>
      </c>
      <c r="B21" s="4" t="inlineStr">
        <is>
          <t>Product Owner đã quen thuộc với Scrum nhưng vẫn thiếu kinh nghiệm thực tế?</t>
        </is>
      </c>
      <c r="C21" s="5" t="inlineStr">
        <is>
          <t>0 / 2</t>
        </is>
      </c>
      <c r="D21" s="9" t="n">
        <v>2</v>
      </c>
      <c r="E21" s="4" t="inlineStr">
        <is>
          <t>PO nắm lý thuyết, còn thiếu thực chiến</t>
        </is>
      </c>
    </row>
    <row r="22">
      <c r="A22" s="4" t="inlineStr">
        <is>
          <t>Khía cạnh nghiệp vụ</t>
        </is>
      </c>
      <c r="B22" s="4" t="inlineStr">
        <is>
          <t>Product Owner đã từng thành công với Scrum trước đây chưa?</t>
        </is>
      </c>
      <c r="C22" s="5" t="inlineStr">
        <is>
          <t>0 / 2</t>
        </is>
      </c>
      <c r="D22" s="5" t="n">
        <v>0</v>
      </c>
      <c r="E22" s="4" t="inlineStr">
        <is>
          <t>Chưa từng dẫn dắt dự án Scrum thành công</t>
        </is>
      </c>
    </row>
    <row r="23">
      <c r="B23" s="2" t="inlineStr">
        <is>
          <t>ED: TỔNG ĐIỂM MÔI TRƯỜNG</t>
        </is>
      </c>
      <c r="D23" s="10">
        <f>SUM(D5:D22)</f>
        <v/>
      </c>
      <c r="E23" t="inlineStr">
        <is>
          <t>Tối đa 36</t>
        </is>
      </c>
    </row>
    <row r="24">
      <c r="B24" s="2" t="inlineStr">
        <is>
          <t>Hệ số môi trường = ED / 36</t>
        </is>
      </c>
      <c r="D24" s="11">
        <f>D23/36</f>
        <v/>
      </c>
    </row>
    <row r="26">
      <c r="B26" s="2" t="inlineStr">
        <is>
          <t>Tổng theo từng khía cạnh (tham khảo)</t>
        </is>
      </c>
    </row>
    <row r="27">
      <c r="B27" t="inlineStr">
        <is>
          <t>Khía cạnh tổ chức</t>
        </is>
      </c>
      <c r="D27" s="12">
        <f>SUM(D5,D6,D7)</f>
        <v/>
      </c>
      <c r="E27" t="inlineStr">
        <is>
          <t>Tối đa 6</t>
        </is>
      </c>
    </row>
    <row r="28">
      <c r="B28" t="inlineStr">
        <is>
          <t>Khía cạnh hạ tầng phát triển</t>
        </is>
      </c>
      <c r="D28" s="12">
        <f>SUM(D8,D9,D10)</f>
        <v/>
      </c>
      <c r="E28" t="inlineStr">
        <is>
          <t>Tối đa 6</t>
        </is>
      </c>
    </row>
    <row r="29">
      <c r="B29" t="inlineStr">
        <is>
          <t>Khía cạnh nhóm</t>
        </is>
      </c>
      <c r="D29" s="12">
        <f>SUM(D11,D12,D13)</f>
        <v/>
      </c>
      <c r="E29" t="inlineStr">
        <is>
          <t>Tối đa 6</t>
        </is>
      </c>
    </row>
    <row r="30">
      <c r="B30" t="inlineStr">
        <is>
          <t>Khía cạnh công nghệ</t>
        </is>
      </c>
      <c r="D30" s="12">
        <f>SUM(D14,D15,D16)</f>
        <v/>
      </c>
      <c r="E30" t="inlineStr">
        <is>
          <t>Tối đa 6</t>
        </is>
      </c>
    </row>
    <row r="31">
      <c r="B31" t="inlineStr">
        <is>
          <t>Khía cạnh qui trình</t>
        </is>
      </c>
      <c r="D31" s="12">
        <f>SUM(D17,D18,D19)</f>
        <v/>
      </c>
      <c r="E31" t="inlineStr">
        <is>
          <t>Tối đa 6</t>
        </is>
      </c>
    </row>
    <row r="32">
      <c r="B32" t="inlineStr">
        <is>
          <t>Khía cạnh nghiệp vụ</t>
        </is>
      </c>
      <c r="D32" s="12">
        <f>SUM(D20,D21,D22)</f>
        <v/>
      </c>
      <c r="E32" t="inlineStr">
        <is>
          <t>Tối đa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13" customWidth="1" min="4" max="4"/>
    <col width="11" customWidth="1" min="5" max="5"/>
    <col width="12" customWidth="1" min="6" max="6"/>
    <col width="7" customWidth="1" min="7" max="7"/>
    <col width="7" customWidth="1" min="8" max="8"/>
    <col width="8" customWidth="1" min="9" max="9"/>
    <col width="7" customWidth="1" min="10" max="10"/>
    <col width="9" customWidth="1" min="11" max="11"/>
    <col width="12" customWidth="1" min="12" max="12"/>
  </cols>
  <sheetData>
    <row r="1">
      <c r="A1" s="1" t="inlineStr">
        <is>
          <t>Ước lượng số lượng Story: UP / AP / PPS</t>
        </is>
      </c>
    </row>
    <row r="2">
      <c r="A2" s="2" t="inlineStr">
        <is>
          <t>C (hệ số nhân) =</t>
        </is>
      </c>
      <c r="C2" s="13" t="n">
        <v>1</v>
      </c>
      <c r="D2" s="2" t="inlineStr">
        <is>
          <t>ED =</t>
        </is>
      </c>
      <c r="E2" s="2">
        <f>'5. ED (Môi trường)'!D23</f>
        <v/>
      </c>
      <c r="F2" t="inlineStr">
        <is>
          <t>PPS = (AP × ED)/36 ;  AP = UP × C ;  UP = tổng 4 tiêu chí (mỗi tiêu chí 1..3)</t>
        </is>
      </c>
    </row>
    <row r="4">
      <c r="A4" s="3" t="inlineStr">
        <is>
          <t>ID</t>
        </is>
      </c>
      <c r="B4" s="3" t="inlineStr">
        <is>
          <t>User Story</t>
        </is>
      </c>
      <c r="C4" s="3" t="inlineStr">
        <is>
          <t>Loại tương tác
(1-3)</t>
        </is>
      </c>
      <c r="D4" s="3" t="inlineStr">
        <is>
          <t>Quy tắc nghiệp vụ
(1-3)</t>
        </is>
      </c>
      <c r="E4" s="3" t="inlineStr">
        <is>
          <t>Số thực thể
(1-3)</t>
        </is>
      </c>
      <c r="F4" s="3" t="inlineStr">
        <is>
          <t>Thao tác dữ liệu
(1-3)</t>
        </is>
      </c>
      <c r="G4" s="3" t="inlineStr">
        <is>
          <t>UP</t>
        </is>
      </c>
      <c r="H4" s="3" t="inlineStr">
        <is>
          <t>C</t>
        </is>
      </c>
      <c r="I4" s="3" t="inlineStr">
        <is>
          <t>AP</t>
        </is>
      </c>
      <c r="J4" s="3" t="inlineStr">
        <is>
          <t>ED</t>
        </is>
      </c>
      <c r="K4" s="3" t="inlineStr">
        <is>
          <t>PPS</t>
        </is>
      </c>
      <c r="L4" s="3" t="inlineStr">
        <is>
          <t>Story Point
(Fibonacci)</t>
        </is>
      </c>
    </row>
    <row r="5">
      <c r="A5" s="5" t="inlineStr">
        <is>
          <t>PB-01</t>
        </is>
      </c>
      <c r="B5" s="4" t="inlineStr">
        <is>
          <t>Là nhân viên, tôi muốn đăng nhập để dùng hệ thống theo đúng quyền</t>
        </is>
      </c>
      <c r="C5" s="5" t="n">
        <v>2</v>
      </c>
      <c r="D5" s="5" t="n">
        <v>2</v>
      </c>
      <c r="E5" s="5" t="n">
        <v>2</v>
      </c>
      <c r="F5" s="5" t="n">
        <v>1</v>
      </c>
      <c r="G5" s="5">
        <f>SUM(C5:F5)</f>
        <v/>
      </c>
      <c r="H5" s="5">
        <f>$C$2</f>
        <v/>
      </c>
      <c r="I5" s="5">
        <f>G5*H5</f>
        <v/>
      </c>
      <c r="J5" s="5">
        <f>$E$2</f>
        <v/>
      </c>
      <c r="K5" s="14">
        <f>I5*J5/36</f>
        <v/>
      </c>
      <c r="L5" s="5">
        <f>IF(K5&lt;=1,1,IF(K5&lt;=2,2,IF(K5&lt;=3,3,IF(K5&lt;=5,5,IF(K5&lt;=8,8,IF(K5&lt;=13,13,21))))))</f>
        <v/>
      </c>
    </row>
    <row r="6">
      <c r="A6" s="5" t="inlineStr">
        <is>
          <t>PB-02</t>
        </is>
      </c>
      <c r="B6" s="4" t="inlineStr">
        <is>
          <t>Là quản trị, tôi muốn CRUD nhân viên</t>
        </is>
      </c>
      <c r="C6" s="5" t="n">
        <v>2</v>
      </c>
      <c r="D6" s="5" t="n">
        <v>2</v>
      </c>
      <c r="E6" s="5" t="n">
        <v>2</v>
      </c>
      <c r="F6" s="5" t="n">
        <v>3</v>
      </c>
      <c r="G6" s="5">
        <f>SUM(C6:F6)</f>
        <v/>
      </c>
      <c r="H6" s="5">
        <f>$C$2</f>
        <v/>
      </c>
      <c r="I6" s="5">
        <f>G6*H6</f>
        <v/>
      </c>
      <c r="J6" s="5">
        <f>$E$2</f>
        <v/>
      </c>
      <c r="K6" s="14">
        <f>I6*J6/36</f>
        <v/>
      </c>
      <c r="L6" s="5">
        <f>IF(K6&lt;=1,1,IF(K6&lt;=2,2,IF(K6&lt;=3,3,IF(K6&lt;=5,5,IF(K6&lt;=8,8,IF(K6&lt;=13,13,21))))))</f>
        <v/>
      </c>
    </row>
    <row r="7">
      <c r="A7" s="5" t="inlineStr">
        <is>
          <t>PB-03</t>
        </is>
      </c>
      <c r="B7" s="4" t="inlineStr">
        <is>
          <t>Là quản trị, tôi muốn đặt bộ quyền mặc định cho từng vai trò</t>
        </is>
      </c>
      <c r="C7" s="5" t="n">
        <v>2</v>
      </c>
      <c r="D7" s="5" t="n">
        <v>3</v>
      </c>
      <c r="E7" s="5" t="n">
        <v>2</v>
      </c>
      <c r="F7" s="5" t="n">
        <v>2</v>
      </c>
      <c r="G7" s="5">
        <f>SUM(C7:F7)</f>
        <v/>
      </c>
      <c r="H7" s="5">
        <f>$C$2</f>
        <v/>
      </c>
      <c r="I7" s="5">
        <f>G7*H7</f>
        <v/>
      </c>
      <c r="J7" s="5">
        <f>$E$2</f>
        <v/>
      </c>
      <c r="K7" s="14">
        <f>I7*J7/36</f>
        <v/>
      </c>
      <c r="L7" s="5">
        <f>IF(K7&lt;=1,1,IF(K7&lt;=2,2,IF(K7&lt;=3,3,IF(K7&lt;=5,5,IF(K7&lt;=8,8,IF(K7&lt;=13,13,21))))))</f>
        <v/>
      </c>
    </row>
    <row r="8">
      <c r="A8" s="5" t="inlineStr">
        <is>
          <t>PB-04</t>
        </is>
      </c>
      <c r="B8" s="4" t="inlineStr">
        <is>
          <t>Là quản trị, tôi muốn phân quyền truy cập cho từng nhân viên</t>
        </is>
      </c>
      <c r="C8" s="5" t="n">
        <v>3</v>
      </c>
      <c r="D8" s="5" t="n">
        <v>3</v>
      </c>
      <c r="E8" s="5" t="n">
        <v>3</v>
      </c>
      <c r="F8" s="5" t="n">
        <v>3</v>
      </c>
      <c r="G8" s="5">
        <f>SUM(C8:F8)</f>
        <v/>
      </c>
      <c r="H8" s="5">
        <f>$C$2</f>
        <v/>
      </c>
      <c r="I8" s="5">
        <f>G8*H8</f>
        <v/>
      </c>
      <c r="J8" s="5">
        <f>$E$2</f>
        <v/>
      </c>
      <c r="K8" s="14">
        <f>I8*J8/36</f>
        <v/>
      </c>
      <c r="L8" s="5">
        <f>IF(K8&lt;=1,1,IF(K8&lt;=2,2,IF(K8&lt;=3,3,IF(K8&lt;=5,5,IF(K8&lt;=8,8,IF(K8&lt;=13,13,21))))))</f>
        <v/>
      </c>
    </row>
    <row r="9">
      <c r="A9" s="5" t="inlineStr">
        <is>
          <t>PB-05</t>
        </is>
      </c>
      <c r="B9" s="4" t="inlineStr">
        <is>
          <t>Là quản lý, tôi muốn CRUD sản phẩm để quản trị danh mục hàng</t>
        </is>
      </c>
      <c r="C9" s="5" t="n">
        <v>2</v>
      </c>
      <c r="D9" s="5" t="n">
        <v>3</v>
      </c>
      <c r="E9" s="5" t="n">
        <v>3</v>
      </c>
      <c r="F9" s="5" t="n">
        <v>3</v>
      </c>
      <c r="G9" s="5">
        <f>SUM(C9:F9)</f>
        <v/>
      </c>
      <c r="H9" s="5">
        <f>$C$2</f>
        <v/>
      </c>
      <c r="I9" s="5">
        <f>G9*H9</f>
        <v/>
      </c>
      <c r="J9" s="5">
        <f>$E$2</f>
        <v/>
      </c>
      <c r="K9" s="14">
        <f>I9*J9/36</f>
        <v/>
      </c>
      <c r="L9" s="5">
        <f>IF(K9&lt;=1,1,IF(K9&lt;=2,2,IF(K9&lt;=3,3,IF(K9&lt;=5,5,IF(K9&lt;=8,8,IF(K9&lt;=13,13,21))))))</f>
        <v/>
      </c>
    </row>
    <row r="10">
      <c r="A10" s="5" t="inlineStr">
        <is>
          <t>PB-06</t>
        </is>
      </c>
      <c r="B10" s="4" t="inlineStr">
        <is>
          <t>Là quản lý, tôi muốn quản lý biến thể (màu/size/giá/giá nhập)</t>
        </is>
      </c>
      <c r="C10" s="5" t="n">
        <v>2</v>
      </c>
      <c r="D10" s="5" t="n">
        <v>3</v>
      </c>
      <c r="E10" s="5" t="n">
        <v>3</v>
      </c>
      <c r="F10" s="5" t="n">
        <v>3</v>
      </c>
      <c r="G10" s="5">
        <f>SUM(C10:F10)</f>
        <v/>
      </c>
      <c r="H10" s="5">
        <f>$C$2</f>
        <v/>
      </c>
      <c r="I10" s="5">
        <f>G10*H10</f>
        <v/>
      </c>
      <c r="J10" s="5">
        <f>$E$2</f>
        <v/>
      </c>
      <c r="K10" s="14">
        <f>I10*J10/36</f>
        <v/>
      </c>
      <c r="L10" s="5">
        <f>IF(K10&lt;=1,1,IF(K10&lt;=2,2,IF(K10&lt;=3,3,IF(K10&lt;=5,5,IF(K10&lt;=8,8,IF(K10&lt;=13,13,21))))))</f>
        <v/>
      </c>
    </row>
    <row r="11">
      <c r="A11" s="5" t="inlineStr">
        <is>
          <t>PB-07</t>
        </is>
      </c>
      <c r="B11" s="4" t="inlineStr">
        <is>
          <t>Là nhân viên kho, tôi muốn nhập kho để tăng tồn</t>
        </is>
      </c>
      <c r="C11" s="5" t="n">
        <v>1</v>
      </c>
      <c r="D11" s="5" t="n">
        <v>1</v>
      </c>
      <c r="E11" s="5" t="n">
        <v>1</v>
      </c>
      <c r="F11" s="5" t="n">
        <v>1</v>
      </c>
      <c r="G11" s="5">
        <f>SUM(C11:F11)</f>
        <v/>
      </c>
      <c r="H11" s="5">
        <f>$C$2</f>
        <v/>
      </c>
      <c r="I11" s="5">
        <f>G11*H11</f>
        <v/>
      </c>
      <c r="J11" s="5">
        <f>$E$2</f>
        <v/>
      </c>
      <c r="K11" s="14">
        <f>I11*J11/36</f>
        <v/>
      </c>
      <c r="L11" s="5">
        <f>IF(K11&lt;=1,1,IF(K11&lt;=2,2,IF(K11&lt;=3,3,IF(K11&lt;=5,5,IF(K11&lt;=8,8,IF(K11&lt;=13,13,21))))))</f>
        <v/>
      </c>
    </row>
    <row r="12">
      <c r="A12" s="5" t="inlineStr">
        <is>
          <t>PB-08</t>
        </is>
      </c>
      <c r="B12" s="4" t="inlineStr">
        <is>
          <t>Là quản lý, tôi muốn quản lý danh mục và xếp sản phẩm vào danh mục</t>
        </is>
      </c>
      <c r="C12" s="5" t="n">
        <v>2</v>
      </c>
      <c r="D12" s="5" t="n">
        <v>2</v>
      </c>
      <c r="E12" s="5" t="n">
        <v>2</v>
      </c>
      <c r="F12" s="5" t="n">
        <v>2</v>
      </c>
      <c r="G12" s="5">
        <f>SUM(C12:F12)</f>
        <v/>
      </c>
      <c r="H12" s="5">
        <f>$C$2</f>
        <v/>
      </c>
      <c r="I12" s="5">
        <f>G12*H12</f>
        <v/>
      </c>
      <c r="J12" s="5">
        <f>$E$2</f>
        <v/>
      </c>
      <c r="K12" s="14">
        <f>I12*J12/36</f>
        <v/>
      </c>
      <c r="L12" s="5">
        <f>IF(K12&lt;=1,1,IF(K12&lt;=2,2,IF(K12&lt;=3,3,IF(K12&lt;=5,5,IF(K12&lt;=8,8,IF(K12&lt;=13,13,21))))))</f>
        <v/>
      </c>
    </row>
    <row r="13">
      <c r="A13" s="5" t="inlineStr">
        <is>
          <t>PB-09</t>
        </is>
      </c>
      <c r="B13" s="4" t="inlineStr">
        <is>
          <t>Là quản lý, tôi muốn quản lý thuộc tính sản phẩm</t>
        </is>
      </c>
      <c r="C13" s="5" t="n">
        <v>2</v>
      </c>
      <c r="D13" s="5" t="n">
        <v>2</v>
      </c>
      <c r="E13" s="5" t="n">
        <v>3</v>
      </c>
      <c r="F13" s="5" t="n">
        <v>3</v>
      </c>
      <c r="G13" s="5">
        <f>SUM(C13:F13)</f>
        <v/>
      </c>
      <c r="H13" s="5">
        <f>$C$2</f>
        <v/>
      </c>
      <c r="I13" s="5">
        <f>G13*H13</f>
        <v/>
      </c>
      <c r="J13" s="5">
        <f>$E$2</f>
        <v/>
      </c>
      <c r="K13" s="14">
        <f>I13*J13/36</f>
        <v/>
      </c>
      <c r="L13" s="5">
        <f>IF(K13&lt;=1,1,IF(K13&lt;=2,2,IF(K13&lt;=3,3,IF(K13&lt;=5,5,IF(K13&lt;=8,8,IF(K13&lt;=13,13,21))))))</f>
        <v/>
      </c>
    </row>
    <row r="14">
      <c r="A14" s="5" t="inlineStr">
        <is>
          <t>PB-10</t>
        </is>
      </c>
      <c r="B14" s="4" t="inlineStr">
        <is>
          <t>Là quản lý, tôi muốn thao tác sản phẩm, danh mục, thuộc tính trong cùng một màn</t>
        </is>
      </c>
      <c r="C14" s="5" t="n">
        <v>2</v>
      </c>
      <c r="D14" s="5" t="n">
        <v>1</v>
      </c>
      <c r="E14" s="5" t="n">
        <v>1</v>
      </c>
      <c r="F14" s="5" t="n">
        <v>1</v>
      </c>
      <c r="G14" s="5">
        <f>SUM(C14:F14)</f>
        <v/>
      </c>
      <c r="H14" s="5">
        <f>$C$2</f>
        <v/>
      </c>
      <c r="I14" s="5">
        <f>G14*H14</f>
        <v/>
      </c>
      <c r="J14" s="5">
        <f>$E$2</f>
        <v/>
      </c>
      <c r="K14" s="14">
        <f>I14*J14/36</f>
        <v/>
      </c>
      <c r="L14" s="5">
        <f>IF(K14&lt;=1,1,IF(K14&lt;=2,2,IF(K14&lt;=3,3,IF(K14&lt;=5,5,IF(K14&lt;=8,8,IF(K14&lt;=13,13,21))))))</f>
        <v/>
      </c>
    </row>
    <row r="15">
      <c r="A15" s="5" t="inlineStr">
        <is>
          <t>PB-11</t>
        </is>
      </c>
      <c r="B15" s="4" t="inlineStr">
        <is>
          <t>Là nhân viên, tôi muốn tạo hóa đơn chờ để bắt đầu một lượt bán</t>
        </is>
      </c>
      <c r="C15" s="5" t="n">
        <v>2</v>
      </c>
      <c r="D15" s="5" t="n">
        <v>2</v>
      </c>
      <c r="E15" s="5" t="n">
        <v>2</v>
      </c>
      <c r="F15" s="5" t="n">
        <v>2</v>
      </c>
      <c r="G15" s="5">
        <f>SUM(C15:F15)</f>
        <v/>
      </c>
      <c r="H15" s="5">
        <f>$C$2</f>
        <v/>
      </c>
      <c r="I15" s="5">
        <f>G15*H15</f>
        <v/>
      </c>
      <c r="J15" s="5">
        <f>$E$2</f>
        <v/>
      </c>
      <c r="K15" s="14">
        <f>I15*J15/36</f>
        <v/>
      </c>
      <c r="L15" s="5">
        <f>IF(K15&lt;=1,1,IF(K15&lt;=2,2,IF(K15&lt;=3,3,IF(K15&lt;=5,5,IF(K15&lt;=8,8,IF(K15&lt;=13,13,21))))))</f>
        <v/>
      </c>
    </row>
    <row r="16">
      <c r="A16" s="5" t="inlineStr">
        <is>
          <t>PB-12</t>
        </is>
      </c>
      <c r="B16" s="4" t="inlineStr">
        <is>
          <t>Là nhân viên, tôi muốn thêm hàng vào giỏ và hệ thống tự trừ kho</t>
        </is>
      </c>
      <c r="C16" s="5" t="n">
        <v>3</v>
      </c>
      <c r="D16" s="5" t="n">
        <v>3</v>
      </c>
      <c r="E16" s="5" t="n">
        <v>3</v>
      </c>
      <c r="F16" s="5" t="n">
        <v>3</v>
      </c>
      <c r="G16" s="5">
        <f>SUM(C16:F16)</f>
        <v/>
      </c>
      <c r="H16" s="5">
        <f>$C$2</f>
        <v/>
      </c>
      <c r="I16" s="5">
        <f>G16*H16</f>
        <v/>
      </c>
      <c r="J16" s="5">
        <f>$E$2</f>
        <v/>
      </c>
      <c r="K16" s="14">
        <f>I16*J16/36</f>
        <v/>
      </c>
      <c r="L16" s="5">
        <f>IF(K16&lt;=1,1,IF(K16&lt;=2,2,IF(K16&lt;=3,3,IF(K16&lt;=5,5,IF(K16&lt;=8,8,IF(K16&lt;=13,13,21))))))</f>
        <v/>
      </c>
    </row>
    <row r="17">
      <c r="A17" s="5" t="inlineStr">
        <is>
          <t>PB-13</t>
        </is>
      </c>
      <c r="B17" s="4" t="inlineStr">
        <is>
          <t>Là nhân viên, tôi muốn áp phiếu giảm giá cho hóa đơn</t>
        </is>
      </c>
      <c r="C17" s="5" t="n">
        <v>3</v>
      </c>
      <c r="D17" s="5" t="n">
        <v>3</v>
      </c>
      <c r="E17" s="5" t="n">
        <v>2</v>
      </c>
      <c r="F17" s="5" t="n">
        <v>2</v>
      </c>
      <c r="G17" s="5">
        <f>SUM(C17:F17)</f>
        <v/>
      </c>
      <c r="H17" s="5">
        <f>$C$2</f>
        <v/>
      </c>
      <c r="I17" s="5">
        <f>G17*H17</f>
        <v/>
      </c>
      <c r="J17" s="5">
        <f>$E$2</f>
        <v/>
      </c>
      <c r="K17" s="14">
        <f>I17*J17/36</f>
        <v/>
      </c>
      <c r="L17" s="5">
        <f>IF(K17&lt;=1,1,IF(K17&lt;=2,2,IF(K17&lt;=3,3,IF(K17&lt;=5,5,IF(K17&lt;=8,8,IF(K17&lt;=13,13,21))))))</f>
        <v/>
      </c>
    </row>
    <row r="18">
      <c r="A18" s="5" t="inlineStr">
        <is>
          <t>PB-14</t>
        </is>
      </c>
      <c r="B18" s="4" t="inlineStr">
        <is>
          <t>Là nhân viên, tôi muốn thanh toán tiền mặt / chuyển khoản / kết hợp</t>
        </is>
      </c>
      <c r="C18" s="5" t="n">
        <v>3</v>
      </c>
      <c r="D18" s="5" t="n">
        <v>3</v>
      </c>
      <c r="E18" s="5" t="n">
        <v>3</v>
      </c>
      <c r="F18" s="5" t="n">
        <v>3</v>
      </c>
      <c r="G18" s="5">
        <f>SUM(C18:F18)</f>
        <v/>
      </c>
      <c r="H18" s="5">
        <f>$C$2</f>
        <v/>
      </c>
      <c r="I18" s="5">
        <f>G18*H18</f>
        <v/>
      </c>
      <c r="J18" s="5">
        <f>$E$2</f>
        <v/>
      </c>
      <c r="K18" s="14">
        <f>I18*J18/36</f>
        <v/>
      </c>
      <c r="L18" s="5">
        <f>IF(K18&lt;=1,1,IF(K18&lt;=2,2,IF(K18&lt;=3,3,IF(K18&lt;=5,5,IF(K18&lt;=8,8,IF(K18&lt;=13,13,21))))))</f>
        <v/>
      </c>
    </row>
    <row r="19">
      <c r="A19" s="5" t="inlineStr">
        <is>
          <t>PB-15</t>
        </is>
      </c>
      <c r="B19" s="4" t="inlineStr">
        <is>
          <t>Là nhân viên, tôi muốn in hóa đơn / phiếu tạm tính cho khách</t>
        </is>
      </c>
      <c r="C19" s="5" t="n">
        <v>3</v>
      </c>
      <c r="D19" s="5" t="n">
        <v>1</v>
      </c>
      <c r="E19" s="5" t="n">
        <v>2</v>
      </c>
      <c r="F19" s="5" t="n">
        <v>1</v>
      </c>
      <c r="G19" s="5">
        <f>SUM(C19:F19)</f>
        <v/>
      </c>
      <c r="H19" s="5">
        <f>$C$2</f>
        <v/>
      </c>
      <c r="I19" s="5">
        <f>G19*H19</f>
        <v/>
      </c>
      <c r="J19" s="5">
        <f>$E$2</f>
        <v/>
      </c>
      <c r="K19" s="14">
        <f>I19*J19/36</f>
        <v/>
      </c>
      <c r="L19" s="5">
        <f>IF(K19&lt;=1,1,IF(K19&lt;=2,2,IF(K19&lt;=3,3,IF(K19&lt;=5,5,IF(K19&lt;=8,8,IF(K19&lt;=13,13,21))))))</f>
        <v/>
      </c>
    </row>
    <row r="20">
      <c r="A20" s="5" t="inlineStr">
        <is>
          <t>PB-16</t>
        </is>
      </c>
      <c r="B20" s="4" t="inlineStr">
        <is>
          <t>Là nhân viên, tôi muốn hủy hóa đơn và hoàn lại kho</t>
        </is>
      </c>
      <c r="C20" s="5" t="n">
        <v>3</v>
      </c>
      <c r="D20" s="5" t="n">
        <v>2</v>
      </c>
      <c r="E20" s="5" t="n">
        <v>3</v>
      </c>
      <c r="F20" s="5" t="n">
        <v>3</v>
      </c>
      <c r="G20" s="5">
        <f>SUM(C20:F20)</f>
        <v/>
      </c>
      <c r="H20" s="5">
        <f>$C$2</f>
        <v/>
      </c>
      <c r="I20" s="5">
        <f>G20*H20</f>
        <v/>
      </c>
      <c r="J20" s="5">
        <f>$E$2</f>
        <v/>
      </c>
      <c r="K20" s="14">
        <f>I20*J20/36</f>
        <v/>
      </c>
      <c r="L20" s="5">
        <f>IF(K20&lt;=1,1,IF(K20&lt;=2,2,IF(K20&lt;=3,3,IF(K20&lt;=5,5,IF(K20&lt;=8,8,IF(K20&lt;=13,13,21))))))</f>
        <v/>
      </c>
    </row>
    <row r="21">
      <c r="A21" s="5" t="inlineStr">
        <is>
          <t>PB-17</t>
        </is>
      </c>
      <c r="B21" s="4" t="inlineStr">
        <is>
          <t>Là nhân viên, tôi muốn quét QR/mã vạch để thêm sản phẩm nhanh</t>
        </is>
      </c>
      <c r="C21" s="5" t="n">
        <v>3</v>
      </c>
      <c r="D21" s="5" t="n">
        <v>2</v>
      </c>
      <c r="E21" s="5" t="n">
        <v>2</v>
      </c>
      <c r="F21" s="5" t="n">
        <v>2</v>
      </c>
      <c r="G21" s="5">
        <f>SUM(C21:F21)</f>
        <v/>
      </c>
      <c r="H21" s="5">
        <f>$C$2</f>
        <v/>
      </c>
      <c r="I21" s="5">
        <f>G21*H21</f>
        <v/>
      </c>
      <c r="J21" s="5">
        <f>$E$2</f>
        <v/>
      </c>
      <c r="K21" s="14">
        <f>I21*J21/36</f>
        <v/>
      </c>
      <c r="L21" s="5">
        <f>IF(K21&lt;=1,1,IF(K21&lt;=2,2,IF(K21&lt;=3,3,IF(K21&lt;=5,5,IF(K21&lt;=8,8,IF(K21&lt;=13,13,21))))))</f>
        <v/>
      </c>
    </row>
    <row r="22">
      <c r="A22" s="5" t="inlineStr">
        <is>
          <t>PB-18</t>
        </is>
      </c>
      <c r="B22" s="4" t="inlineStr">
        <is>
          <t>Là nhân viên, tôi muốn thêm nhanh khách hàng ngay tại quầy</t>
        </is>
      </c>
      <c r="C22" s="5" t="n">
        <v>2</v>
      </c>
      <c r="D22" s="5" t="n">
        <v>1</v>
      </c>
      <c r="E22" s="5" t="n">
        <v>1</v>
      </c>
      <c r="F22" s="5" t="n">
        <v>1</v>
      </c>
      <c r="G22" s="5">
        <f>SUM(C22:F22)</f>
        <v/>
      </c>
      <c r="H22" s="5">
        <f>$C$2</f>
        <v/>
      </c>
      <c r="I22" s="5">
        <f>G22*H22</f>
        <v/>
      </c>
      <c r="J22" s="5">
        <f>$E$2</f>
        <v/>
      </c>
      <c r="K22" s="14">
        <f>I22*J22/36</f>
        <v/>
      </c>
      <c r="L22" s="5">
        <f>IF(K22&lt;=1,1,IF(K22&lt;=2,2,IF(K22&lt;=3,3,IF(K22&lt;=5,5,IF(K22&lt;=8,8,IF(K22&lt;=13,13,21))))))</f>
        <v/>
      </c>
    </row>
    <row r="23">
      <c r="A23" s="5" t="inlineStr">
        <is>
          <t>PB-19</t>
        </is>
      </c>
      <c r="B23" s="4" t="inlineStr">
        <is>
          <t>Là nhân viên, tôi muốn tạo đơn giao hàng kèm phí ship</t>
        </is>
      </c>
      <c r="C23" s="5" t="n">
        <v>2</v>
      </c>
      <c r="D23" s="5" t="n">
        <v>3</v>
      </c>
      <c r="E23" s="5" t="n">
        <v>3</v>
      </c>
      <c r="F23" s="5" t="n">
        <v>3</v>
      </c>
      <c r="G23" s="5">
        <f>SUM(C23:F23)</f>
        <v/>
      </c>
      <c r="H23" s="5">
        <f>$C$2</f>
        <v/>
      </c>
      <c r="I23" s="5">
        <f>G23*H23</f>
        <v/>
      </c>
      <c r="J23" s="5">
        <f>$E$2</f>
        <v/>
      </c>
      <c r="K23" s="14">
        <f>I23*J23/36</f>
        <v/>
      </c>
      <c r="L23" s="5">
        <f>IF(K23&lt;=1,1,IF(K23&lt;=2,2,IF(K23&lt;=3,3,IF(K23&lt;=5,5,IF(K23&lt;=8,8,IF(K23&lt;=13,13,21))))))</f>
        <v/>
      </c>
    </row>
    <row r="24">
      <c r="A24" s="5" t="inlineStr">
        <is>
          <t>PB-20</t>
        </is>
      </c>
      <c r="B24" s="4" t="inlineStr">
        <is>
          <t>Là nhân viên, tôi muốn cập nhật trạng thái Đã giao</t>
        </is>
      </c>
      <c r="C24" s="5" t="n">
        <v>1</v>
      </c>
      <c r="D24" s="5" t="n">
        <v>2</v>
      </c>
      <c r="E24" s="5" t="n">
        <v>2</v>
      </c>
      <c r="F24" s="5" t="n">
        <v>2</v>
      </c>
      <c r="G24" s="5">
        <f>SUM(C24:F24)</f>
        <v/>
      </c>
      <c r="H24" s="5">
        <f>$C$2</f>
        <v/>
      </c>
      <c r="I24" s="5">
        <f>G24*H24</f>
        <v/>
      </c>
      <c r="J24" s="5">
        <f>$E$2</f>
        <v/>
      </c>
      <c r="K24" s="14">
        <f>I24*J24/36</f>
        <v/>
      </c>
      <c r="L24" s="5">
        <f>IF(K24&lt;=1,1,IF(K24&lt;=2,2,IF(K24&lt;=3,3,IF(K24&lt;=5,5,IF(K24&lt;=8,8,IF(K24&lt;=13,13,21))))))</f>
        <v/>
      </c>
    </row>
    <row r="25">
      <c r="A25" s="5" t="inlineStr">
        <is>
          <t>PB-21</t>
        </is>
      </c>
      <c r="B25" s="4" t="inlineStr">
        <is>
          <t>Là quản lý, tôi muốn xử lý trả hàng và hoàn kho</t>
        </is>
      </c>
      <c r="C25" s="5" t="n">
        <v>2</v>
      </c>
      <c r="D25" s="5" t="n">
        <v>3</v>
      </c>
      <c r="E25" s="5" t="n">
        <v>3</v>
      </c>
      <c r="F25" s="5" t="n">
        <v>3</v>
      </c>
      <c r="G25" s="5">
        <f>SUM(C25:F25)</f>
        <v/>
      </c>
      <c r="H25" s="5">
        <f>$C$2</f>
        <v/>
      </c>
      <c r="I25" s="5">
        <f>G25*H25</f>
        <v/>
      </c>
      <c r="J25" s="5">
        <f>$E$2</f>
        <v/>
      </c>
      <c r="K25" s="14">
        <f>I25*J25/36</f>
        <v/>
      </c>
      <c r="L25" s="5">
        <f>IF(K25&lt;=1,1,IF(K25&lt;=2,2,IF(K25&lt;=3,3,IF(K25&lt;=5,5,IF(K25&lt;=8,8,IF(K25&lt;=13,13,21))))))</f>
        <v/>
      </c>
    </row>
    <row r="26">
      <c r="A26" s="5" t="inlineStr">
        <is>
          <t>PB-22</t>
        </is>
      </c>
      <c r="B26" s="4" t="inlineStr">
        <is>
          <t>Là quản lý, tôi muốn CRUD khách hàng</t>
        </is>
      </c>
      <c r="C26" s="5" t="n">
        <v>2</v>
      </c>
      <c r="D26" s="5" t="n">
        <v>2</v>
      </c>
      <c r="E26" s="5" t="n">
        <v>1</v>
      </c>
      <c r="F26" s="5" t="n">
        <v>3</v>
      </c>
      <c r="G26" s="5">
        <f>SUM(C26:F26)</f>
        <v/>
      </c>
      <c r="H26" s="5">
        <f>$C$2</f>
        <v/>
      </c>
      <c r="I26" s="5">
        <f>G26*H26</f>
        <v/>
      </c>
      <c r="J26" s="5">
        <f>$E$2</f>
        <v/>
      </c>
      <c r="K26" s="14">
        <f>I26*J26/36</f>
        <v/>
      </c>
      <c r="L26" s="5">
        <f>IF(K26&lt;=1,1,IF(K26&lt;=2,2,IF(K26&lt;=3,3,IF(K26&lt;=5,5,IF(K26&lt;=8,8,IF(K26&lt;=13,13,21))))))</f>
        <v/>
      </c>
    </row>
    <row r="27">
      <c r="A27" s="5" t="inlineStr">
        <is>
          <t>PB-23</t>
        </is>
      </c>
      <c r="B27" s="4" t="inlineStr">
        <is>
          <t>Là quản lý, tôi muốn quản lý địa chỉ giao hàng của khách</t>
        </is>
      </c>
      <c r="C27" s="5" t="n">
        <v>2</v>
      </c>
      <c r="D27" s="5" t="n">
        <v>2</v>
      </c>
      <c r="E27" s="5" t="n">
        <v>2</v>
      </c>
      <c r="F27" s="5" t="n">
        <v>3</v>
      </c>
      <c r="G27" s="5">
        <f>SUM(C27:F27)</f>
        <v/>
      </c>
      <c r="H27" s="5">
        <f>$C$2</f>
        <v/>
      </c>
      <c r="I27" s="5">
        <f>G27*H27</f>
        <v/>
      </c>
      <c r="J27" s="5">
        <f>$E$2</f>
        <v/>
      </c>
      <c r="K27" s="14">
        <f>I27*J27/36</f>
        <v/>
      </c>
      <c r="L27" s="5">
        <f>IF(K27&lt;=1,1,IF(K27&lt;=2,2,IF(K27&lt;=3,3,IF(K27&lt;=5,5,IF(K27&lt;=8,8,IF(K27&lt;=13,13,21))))))</f>
        <v/>
      </c>
    </row>
    <row r="28">
      <c r="A28" s="5" t="inlineStr">
        <is>
          <t>PB-24</t>
        </is>
      </c>
      <c r="B28" s="4" t="inlineStr">
        <is>
          <t>Là khách hàng, tôi muốn xem trang chủ cửa hàng</t>
        </is>
      </c>
      <c r="C28" s="5" t="n">
        <v>2</v>
      </c>
      <c r="D28" s="5" t="n">
        <v>2</v>
      </c>
      <c r="E28" s="5" t="n">
        <v>3</v>
      </c>
      <c r="F28" s="5" t="n">
        <v>1</v>
      </c>
      <c r="G28" s="5">
        <f>SUM(C28:F28)</f>
        <v/>
      </c>
      <c r="H28" s="5">
        <f>$C$2</f>
        <v/>
      </c>
      <c r="I28" s="5">
        <f>G28*H28</f>
        <v/>
      </c>
      <c r="J28" s="5">
        <f>$E$2</f>
        <v/>
      </c>
      <c r="K28" s="14">
        <f>I28*J28/36</f>
        <v/>
      </c>
      <c r="L28" s="5">
        <f>IF(K28&lt;=1,1,IF(K28&lt;=2,2,IF(K28&lt;=3,3,IF(K28&lt;=5,5,IF(K28&lt;=8,8,IF(K28&lt;=13,13,21))))))</f>
        <v/>
      </c>
    </row>
    <row r="29">
      <c r="A29" s="5" t="inlineStr">
        <is>
          <t>PB-25</t>
        </is>
      </c>
      <c r="B29" s="4" t="inlineStr">
        <is>
          <t>Là khách hàng, tôi muốn thêm giày vào giỏ hàng</t>
        </is>
      </c>
      <c r="C29" s="5" t="n">
        <v>2</v>
      </c>
      <c r="D29" s="5" t="n">
        <v>2</v>
      </c>
      <c r="E29" s="5" t="n">
        <v>1</v>
      </c>
      <c r="F29" s="5" t="n">
        <v>3</v>
      </c>
      <c r="G29" s="5">
        <f>SUM(C29:F29)</f>
        <v/>
      </c>
      <c r="H29" s="5">
        <f>$C$2</f>
        <v/>
      </c>
      <c r="I29" s="5">
        <f>G29*H29</f>
        <v/>
      </c>
      <c r="J29" s="5">
        <f>$E$2</f>
        <v/>
      </c>
      <c r="K29" s="14">
        <f>I29*J29/36</f>
        <v/>
      </c>
      <c r="L29" s="5">
        <f>IF(K29&lt;=1,1,IF(K29&lt;=2,2,IF(K29&lt;=3,3,IF(K29&lt;=5,5,IF(K29&lt;=8,8,IF(K29&lt;=13,13,21))))))</f>
        <v/>
      </c>
    </row>
    <row r="30">
      <c r="A30" s="5" t="inlineStr">
        <is>
          <t>PB-26</t>
        </is>
      </c>
      <c r="B30" s="4" t="inlineStr">
        <is>
          <t>Là khách hàng, tôi muốn đặt hàng giao tận nhà (COD)</t>
        </is>
      </c>
      <c r="C30" s="5" t="n">
        <v>3</v>
      </c>
      <c r="D30" s="5" t="n">
        <v>3</v>
      </c>
      <c r="E30" s="5" t="n">
        <v>3</v>
      </c>
      <c r="F30" s="5" t="n">
        <v>2</v>
      </c>
      <c r="G30" s="5">
        <f>SUM(C30:F30)</f>
        <v/>
      </c>
      <c r="H30" s="5">
        <f>$C$2</f>
        <v/>
      </c>
      <c r="I30" s="5">
        <f>G30*H30</f>
        <v/>
      </c>
      <c r="J30" s="5">
        <f>$E$2</f>
        <v/>
      </c>
      <c r="K30" s="14">
        <f>I30*J30/36</f>
        <v/>
      </c>
      <c r="L30" s="5">
        <f>IF(K30&lt;=1,1,IF(K30&lt;=2,2,IF(K30&lt;=3,3,IF(K30&lt;=5,5,IF(K30&lt;=8,8,IF(K30&lt;=13,13,21))))))</f>
        <v/>
      </c>
    </row>
    <row r="31">
      <c r="A31" s="5" t="inlineStr">
        <is>
          <t>PB-27</t>
        </is>
      </c>
      <c r="B31" s="4" t="inlineStr">
        <is>
          <t>Là khách hàng, tôi muốn tra cứu đơn của tôi và xác nhận đã nhận</t>
        </is>
      </c>
      <c r="C31" s="5" t="n">
        <v>2</v>
      </c>
      <c r="D31" s="5" t="n">
        <v>2</v>
      </c>
      <c r="E31" s="5" t="n">
        <v>2</v>
      </c>
      <c r="F31" s="5" t="n">
        <v>2</v>
      </c>
      <c r="G31" s="5">
        <f>SUM(C31:F31)</f>
        <v/>
      </c>
      <c r="H31" s="5">
        <f>$C$2</f>
        <v/>
      </c>
      <c r="I31" s="5">
        <f>G31*H31</f>
        <v/>
      </c>
      <c r="J31" s="5">
        <f>$E$2</f>
        <v/>
      </c>
      <c r="K31" s="14">
        <f>I31*J31/36</f>
        <v/>
      </c>
      <c r="L31" s="5">
        <f>IF(K31&lt;=1,1,IF(K31&lt;=2,2,IF(K31&lt;=3,3,IF(K31&lt;=5,5,IF(K31&lt;=8,8,IF(K31&lt;=13,13,21))))))</f>
        <v/>
      </c>
    </row>
    <row r="32">
      <c r="A32" s="5" t="inlineStr">
        <is>
          <t>PB-28</t>
        </is>
      </c>
      <c r="B32" s="4" t="inlineStr">
        <is>
          <t>Là khách hàng, tôi muốn đặt trước mẫu đang hết hàng</t>
        </is>
      </c>
      <c r="C32" s="5" t="n">
        <v>2</v>
      </c>
      <c r="D32" s="5" t="n">
        <v>3</v>
      </c>
      <c r="E32" s="5" t="n">
        <v>2</v>
      </c>
      <c r="F32" s="5" t="n">
        <v>2</v>
      </c>
      <c r="G32" s="5">
        <f>SUM(C32:F32)</f>
        <v/>
      </c>
      <c r="H32" s="5">
        <f>$C$2</f>
        <v/>
      </c>
      <c r="I32" s="5">
        <f>G32*H32</f>
        <v/>
      </c>
      <c r="J32" s="5">
        <f>$E$2</f>
        <v/>
      </c>
      <c r="K32" s="14">
        <f>I32*J32/36</f>
        <v/>
      </c>
      <c r="L32" s="5">
        <f>IF(K32&lt;=1,1,IF(K32&lt;=2,2,IF(K32&lt;=3,3,IF(K32&lt;=5,5,IF(K32&lt;=8,8,IF(K32&lt;=13,13,21))))))</f>
        <v/>
      </c>
    </row>
    <row r="33">
      <c r="A33" s="5" t="inlineStr">
        <is>
          <t>PB-29</t>
        </is>
      </c>
      <c r="B33" s="4" t="inlineStr">
        <is>
          <t>Là nhân viên, tôi muốn quản lý phiếu đặt trước và chuyển thành đơn khi hàng về</t>
        </is>
      </c>
      <c r="C33" s="5" t="n">
        <v>2</v>
      </c>
      <c r="D33" s="5" t="n">
        <v>3</v>
      </c>
      <c r="E33" s="5" t="n">
        <v>3</v>
      </c>
      <c r="F33" s="5" t="n">
        <v>3</v>
      </c>
      <c r="G33" s="5">
        <f>SUM(C33:F33)</f>
        <v/>
      </c>
      <c r="H33" s="5">
        <f>$C$2</f>
        <v/>
      </c>
      <c r="I33" s="5">
        <f>G33*H33</f>
        <v/>
      </c>
      <c r="J33" s="5">
        <f>$E$2</f>
        <v/>
      </c>
      <c r="K33" s="14">
        <f>I33*J33/36</f>
        <v/>
      </c>
      <c r="L33" s="5">
        <f>IF(K33&lt;=1,1,IF(K33&lt;=2,2,IF(K33&lt;=3,3,IF(K33&lt;=5,5,IF(K33&lt;=8,8,IF(K33&lt;=13,13,21))))))</f>
        <v/>
      </c>
    </row>
    <row r="34">
      <c r="A34" s="5" t="inlineStr">
        <is>
          <t>PB-30</t>
        </is>
      </c>
      <c r="B34" s="4" t="inlineStr">
        <is>
          <t>Là khách hàng, tôi muốn xem trang chi tiết sản phẩm</t>
        </is>
      </c>
      <c r="C34" s="5" t="n">
        <v>3</v>
      </c>
      <c r="D34" s="5" t="n">
        <v>2</v>
      </c>
      <c r="E34" s="5" t="n">
        <v>3</v>
      </c>
      <c r="F34" s="5" t="n">
        <v>1</v>
      </c>
      <c r="G34" s="5">
        <f>SUM(C34:F34)</f>
        <v/>
      </c>
      <c r="H34" s="5">
        <f>$C$2</f>
        <v/>
      </c>
      <c r="I34" s="5">
        <f>G34*H34</f>
        <v/>
      </c>
      <c r="J34" s="5">
        <f>$E$2</f>
        <v/>
      </c>
      <c r="K34" s="14">
        <f>I34*J34/36</f>
        <v/>
      </c>
      <c r="L34" s="5">
        <f>IF(K34&lt;=1,1,IF(K34&lt;=2,2,IF(K34&lt;=3,3,IF(K34&lt;=5,5,IF(K34&lt;=8,8,IF(K34&lt;=13,13,21))))))</f>
        <v/>
      </c>
    </row>
    <row r="35">
      <c r="A35" s="5" t="inlineStr">
        <is>
          <t>PB-31</t>
        </is>
      </c>
      <c r="B35" s="4" t="inlineStr">
        <is>
          <t>Là kế toán, tôi muốn xem KPI tổng quan</t>
        </is>
      </c>
      <c r="C35" s="5" t="n">
        <v>1</v>
      </c>
      <c r="D35" s="5" t="n">
        <v>3</v>
      </c>
      <c r="E35" s="5" t="n">
        <v>3</v>
      </c>
      <c r="F35" s="5" t="n">
        <v>1</v>
      </c>
      <c r="G35" s="5">
        <f>SUM(C35:F35)</f>
        <v/>
      </c>
      <c r="H35" s="5">
        <f>$C$2</f>
        <v/>
      </c>
      <c r="I35" s="5">
        <f>G35*H35</f>
        <v/>
      </c>
      <c r="J35" s="5">
        <f>$E$2</f>
        <v/>
      </c>
      <c r="K35" s="14">
        <f>I35*J35/36</f>
        <v/>
      </c>
      <c r="L35" s="5">
        <f>IF(K35&lt;=1,1,IF(K35&lt;=2,2,IF(K35&lt;=3,3,IF(K35&lt;=5,5,IF(K35&lt;=8,8,IF(K35&lt;=13,13,21))))))</f>
        <v/>
      </c>
    </row>
    <row r="36">
      <c r="A36" s="5" t="inlineStr">
        <is>
          <t>PB-32</t>
        </is>
      </c>
      <c r="B36" s="4" t="inlineStr">
        <is>
          <t>Là kế toán, tôi muốn xem biểu đồ dòng tiền theo tháng</t>
        </is>
      </c>
      <c r="C36" s="5" t="n">
        <v>2</v>
      </c>
      <c r="D36" s="5" t="n">
        <v>3</v>
      </c>
      <c r="E36" s="5" t="n">
        <v>3</v>
      </c>
      <c r="F36" s="5" t="n">
        <v>1</v>
      </c>
      <c r="G36" s="5">
        <f>SUM(C36:F36)</f>
        <v/>
      </c>
      <c r="H36" s="5">
        <f>$C$2</f>
        <v/>
      </c>
      <c r="I36" s="5">
        <f>G36*H36</f>
        <v/>
      </c>
      <c r="J36" s="5">
        <f>$E$2</f>
        <v/>
      </c>
      <c r="K36" s="14">
        <f>I36*J36/36</f>
        <v/>
      </c>
      <c r="L36" s="5">
        <f>IF(K36&lt;=1,1,IF(K36&lt;=2,2,IF(K36&lt;=3,3,IF(K36&lt;=5,5,IF(K36&lt;=8,8,IF(K36&lt;=13,13,21))))))</f>
        <v/>
      </c>
    </row>
    <row r="37">
      <c r="A37" s="5" t="inlineStr">
        <is>
          <t>PB-33</t>
        </is>
      </c>
      <c r="B37" s="4" t="inlineStr">
        <is>
          <t>Là kế toán, tôi muốn xem ROI theo sản phẩm</t>
        </is>
      </c>
      <c r="C37" s="5" t="n">
        <v>2</v>
      </c>
      <c r="D37" s="5" t="n">
        <v>3</v>
      </c>
      <c r="E37" s="5" t="n">
        <v>3</v>
      </c>
      <c r="F37" s="5" t="n">
        <v>1</v>
      </c>
      <c r="G37" s="5">
        <f>SUM(C37:F37)</f>
        <v/>
      </c>
      <c r="H37" s="5">
        <f>$C$2</f>
        <v/>
      </c>
      <c r="I37" s="5">
        <f>G37*H37</f>
        <v/>
      </c>
      <c r="J37" s="5">
        <f>$E$2</f>
        <v/>
      </c>
      <c r="K37" s="14">
        <f>I37*J37/36</f>
        <v/>
      </c>
      <c r="L37" s="5">
        <f>IF(K37&lt;=1,1,IF(K37&lt;=2,2,IF(K37&lt;=3,3,IF(K37&lt;=5,5,IF(K37&lt;=8,8,IF(K37&lt;=13,13,21))))))</f>
        <v/>
      </c>
    </row>
    <row r="38">
      <c r="A38" s="5" t="inlineStr">
        <is>
          <t>PB-34</t>
        </is>
      </c>
      <c r="B38" s="4" t="inlineStr">
        <is>
          <t>Là kế toán, tôi muốn xem tỷ lệ giữ chân khách hàng</t>
        </is>
      </c>
      <c r="C38" s="5" t="n">
        <v>1</v>
      </c>
      <c r="D38" s="5" t="n">
        <v>3</v>
      </c>
      <c r="E38" s="5" t="n">
        <v>2</v>
      </c>
      <c r="F38" s="5" t="n">
        <v>1</v>
      </c>
      <c r="G38" s="5">
        <f>SUM(C38:F38)</f>
        <v/>
      </c>
      <c r="H38" s="5">
        <f>$C$2</f>
        <v/>
      </c>
      <c r="I38" s="5">
        <f>G38*H38</f>
        <v/>
      </c>
      <c r="J38" s="5">
        <f>$E$2</f>
        <v/>
      </c>
      <c r="K38" s="14">
        <f>I38*J38/36</f>
        <v/>
      </c>
      <c r="L38" s="5">
        <f>IF(K38&lt;=1,1,IF(K38&lt;=2,2,IF(K38&lt;=3,3,IF(K38&lt;=5,5,IF(K38&lt;=8,8,IF(K38&lt;=13,13,21))))))</f>
        <v/>
      </c>
    </row>
    <row r="39">
      <c r="A39" s="5" t="inlineStr">
        <is>
          <t>PB-35</t>
        </is>
      </c>
      <c r="B39" s="4" t="inlineStr">
        <is>
          <t>Là kế toán, tôi muốn xem SP bán chạy / bán chậm / xu hướng</t>
        </is>
      </c>
      <c r="C39" s="5" t="n">
        <v>2</v>
      </c>
      <c r="D39" s="5" t="n">
        <v>3</v>
      </c>
      <c r="E39" s="5" t="n">
        <v>3</v>
      </c>
      <c r="F39" s="5" t="n">
        <v>1</v>
      </c>
      <c r="G39" s="5">
        <f>SUM(C39:F39)</f>
        <v/>
      </c>
      <c r="H39" s="5">
        <f>$C$2</f>
        <v/>
      </c>
      <c r="I39" s="5">
        <f>G39*H39</f>
        <v/>
      </c>
      <c r="J39" s="5">
        <f>$E$2</f>
        <v/>
      </c>
      <c r="K39" s="14">
        <f>I39*J39/36</f>
        <v/>
      </c>
      <c r="L39" s="5">
        <f>IF(K39&lt;=1,1,IF(K39&lt;=2,2,IF(K39&lt;=3,3,IF(K39&lt;=5,5,IF(K39&lt;=8,8,IF(K39&lt;=13,13,21))))))</f>
        <v/>
      </c>
    </row>
    <row r="40">
      <c r="A40" s="5" t="inlineStr">
        <is>
          <t>PB-36</t>
        </is>
      </c>
      <c r="B40" s="4" t="inlineStr">
        <is>
          <t>Là kế toán, tôi muốn xuất báo cáo ra Excel</t>
        </is>
      </c>
      <c r="C40" s="5" t="n">
        <v>1</v>
      </c>
      <c r="D40" s="5" t="n">
        <v>1</v>
      </c>
      <c r="E40" s="5" t="n">
        <v>2</v>
      </c>
      <c r="F40" s="5" t="n">
        <v>1</v>
      </c>
      <c r="G40" s="5">
        <f>SUM(C40:F40)</f>
        <v/>
      </c>
      <c r="H40" s="5">
        <f>$C$2</f>
        <v/>
      </c>
      <c r="I40" s="5">
        <f>G40*H40</f>
        <v/>
      </c>
      <c r="J40" s="5">
        <f>$E$2</f>
        <v/>
      </c>
      <c r="K40" s="14">
        <f>I40*J40/36</f>
        <v/>
      </c>
      <c r="L40" s="5">
        <f>IF(K40&lt;=1,1,IF(K40&lt;=2,2,IF(K40&lt;=3,3,IF(K40&lt;=5,5,IF(K40&lt;=8,8,IF(K40&lt;=13,13,21))))))</f>
        <v/>
      </c>
    </row>
    <row r="41">
      <c r="A41" s="5" t="inlineStr">
        <is>
          <t>PB-37</t>
        </is>
      </c>
      <c r="B41" s="4" t="inlineStr">
        <is>
          <t>Là NV bảo hành, tôi muốn tiếp nhận đơn bảo hành</t>
        </is>
      </c>
      <c r="C41" s="5" t="n">
        <v>2</v>
      </c>
      <c r="D41" s="5" t="n">
        <v>2</v>
      </c>
      <c r="E41" s="5" t="n">
        <v>3</v>
      </c>
      <c r="F41" s="5" t="n">
        <v>2</v>
      </c>
      <c r="G41" s="5">
        <f>SUM(C41:F41)</f>
        <v/>
      </c>
      <c r="H41" s="5">
        <f>$C$2</f>
        <v/>
      </c>
      <c r="I41" s="5">
        <f>G41*H41</f>
        <v/>
      </c>
      <c r="J41" s="5">
        <f>$E$2</f>
        <v/>
      </c>
      <c r="K41" s="14">
        <f>I41*J41/36</f>
        <v/>
      </c>
      <c r="L41" s="5">
        <f>IF(K41&lt;=1,1,IF(K41&lt;=2,2,IF(K41&lt;=3,3,IF(K41&lt;=5,5,IF(K41&lt;=8,8,IF(K41&lt;=13,13,21))))))</f>
        <v/>
      </c>
    </row>
    <row r="42">
      <c r="A42" s="5" t="inlineStr">
        <is>
          <t>PB-38</t>
        </is>
      </c>
      <c r="B42" s="4" t="inlineStr">
        <is>
          <t>Là NV bảo hành, tôi muốn cập nhật trạng thái xử lý bảo hành</t>
        </is>
      </c>
      <c r="C42" s="5" t="n">
        <v>2</v>
      </c>
      <c r="D42" s="5" t="n">
        <v>3</v>
      </c>
      <c r="E42" s="5" t="n">
        <v>2</v>
      </c>
      <c r="F42" s="5" t="n">
        <v>2</v>
      </c>
      <c r="G42" s="5">
        <f>SUM(C42:F42)</f>
        <v/>
      </c>
      <c r="H42" s="5">
        <f>$C$2</f>
        <v/>
      </c>
      <c r="I42" s="5">
        <f>G42*H42</f>
        <v/>
      </c>
      <c r="J42" s="5">
        <f>$E$2</f>
        <v/>
      </c>
      <c r="K42" s="14">
        <f>I42*J42/36</f>
        <v/>
      </c>
      <c r="L42" s="5">
        <f>IF(K42&lt;=1,1,IF(K42&lt;=2,2,IF(K42&lt;=3,3,IF(K42&lt;=5,5,IF(K42&lt;=8,8,IF(K42&lt;=13,13,21))))))</f>
        <v/>
      </c>
    </row>
    <row r="43">
      <c r="A43" s="5" t="inlineStr">
        <is>
          <t>PB-39</t>
        </is>
      </c>
      <c r="B43" s="4" t="inlineStr">
        <is>
          <t>Là NV bảo hành, tôi muốn in phiếu bảo hành</t>
        </is>
      </c>
      <c r="C43" s="5" t="n">
        <v>1</v>
      </c>
      <c r="D43" s="5" t="n">
        <v>1</v>
      </c>
      <c r="E43" s="5" t="n">
        <v>2</v>
      </c>
      <c r="F43" s="5" t="n">
        <v>1</v>
      </c>
      <c r="G43" s="5">
        <f>SUM(C43:F43)</f>
        <v/>
      </c>
      <c r="H43" s="5">
        <f>$C$2</f>
        <v/>
      </c>
      <c r="I43" s="5">
        <f>G43*H43</f>
        <v/>
      </c>
      <c r="J43" s="5">
        <f>$E$2</f>
        <v/>
      </c>
      <c r="K43" s="14">
        <f>I43*J43/36</f>
        <v/>
      </c>
      <c r="L43" s="5">
        <f>IF(K43&lt;=1,1,IF(K43&lt;=2,2,IF(K43&lt;=3,3,IF(K43&lt;=5,5,IF(K43&lt;=8,8,IF(K43&lt;=13,13,21))))))</f>
        <v/>
      </c>
    </row>
    <row r="44">
      <c r="A44" s="5" t="inlineStr">
        <is>
          <t>PB-40</t>
        </is>
      </c>
      <c r="B44" s="4" t="inlineStr">
        <is>
          <t>Là quản lý, tôi muốn quản lý phiếu giảm giá</t>
        </is>
      </c>
      <c r="C44" s="5" t="n">
        <v>2</v>
      </c>
      <c r="D44" s="5" t="n">
        <v>3</v>
      </c>
      <c r="E44" s="5" t="n">
        <v>1</v>
      </c>
      <c r="F44" s="5" t="n">
        <v>3</v>
      </c>
      <c r="G44" s="5">
        <f>SUM(C44:F44)</f>
        <v/>
      </c>
      <c r="H44" s="5">
        <f>$C$2</f>
        <v/>
      </c>
      <c r="I44" s="5">
        <f>G44*H44</f>
        <v/>
      </c>
      <c r="J44" s="5">
        <f>$E$2</f>
        <v/>
      </c>
      <c r="K44" s="14">
        <f>I44*J44/36</f>
        <v/>
      </c>
      <c r="L44" s="5">
        <f>IF(K44&lt;=1,1,IF(K44&lt;=2,2,IF(K44&lt;=3,3,IF(K44&lt;=5,5,IF(K44&lt;=8,8,IF(K44&lt;=13,13,21))))))</f>
        <v/>
      </c>
    </row>
    <row r="45">
      <c r="B45" s="2" t="inlineStr">
        <is>
          <t>TỔNG</t>
        </is>
      </c>
      <c r="G45" s="2">
        <f>SUM(G5:G44)</f>
        <v/>
      </c>
      <c r="K45" s="15">
        <f>SUM(K5:K44)</f>
        <v/>
      </c>
      <c r="L45" s="2">
        <f>SUM(L5:L44)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2026-07-21T08:35:02Z</dcterms:created>
  <dcterms:modified xmlns:dcterms="http://purl.org/dc/terms/" xmlns:xsi="http://www.w3.org/2001/XMLSchema-instance" xsi:type="dcterms:W3CDTF">2026-07-21T08:35:02Z</dcterms:modified>
</cp:coreProperties>
</file>